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nie\PycharmProjects\IJTEST\"/>
    </mc:Choice>
  </mc:AlternateContent>
  <xr:revisionPtr revIDLastSave="0" documentId="13_ncr:1_{C962BB53-99B2-4667-B12F-46BC0695A168}" xr6:coauthVersionLast="47" xr6:coauthVersionMax="47" xr10:uidLastSave="{00000000-0000-0000-0000-000000000000}"/>
  <bookViews>
    <workbookView xWindow="2730" yWindow="2730" windowWidth="28800" windowHeight="15345" tabRatio="462" xr2:uid="{818E56FB-E968-45D5-9F78-9DB8EF8FF495}"/>
  </bookViews>
  <sheets>
    <sheet name="GAMES" sheetId="1" r:id="rId1"/>
    <sheet name="TEMPLATE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69" i="1" l="1"/>
  <c r="U269" i="1"/>
  <c r="T269" i="1"/>
  <c r="S269" i="1"/>
  <c r="R269" i="1"/>
  <c r="Q269" i="1"/>
  <c r="N269" i="1"/>
  <c r="M269" i="1"/>
  <c r="L269" i="1"/>
  <c r="K269" i="1"/>
  <c r="X269" i="1" s="1"/>
  <c r="H269" i="1"/>
  <c r="Z269" i="1" s="1"/>
  <c r="G269" i="1"/>
  <c r="F269" i="1"/>
  <c r="E269" i="1"/>
  <c r="AA268" i="1"/>
  <c r="Z268" i="1"/>
  <c r="Y268" i="1"/>
  <c r="X268" i="1"/>
  <c r="W268" i="1"/>
  <c r="P268" i="1"/>
  <c r="O268" i="1"/>
  <c r="J268" i="1"/>
  <c r="I268" i="1"/>
  <c r="V268" i="1" s="1"/>
  <c r="AA267" i="1"/>
  <c r="Z267" i="1"/>
  <c r="Y267" i="1"/>
  <c r="X267" i="1"/>
  <c r="P267" i="1"/>
  <c r="O267" i="1"/>
  <c r="W267" i="1" s="1"/>
  <c r="J267" i="1"/>
  <c r="I267" i="1"/>
  <c r="V267" i="1" s="1"/>
  <c r="AB266" i="1"/>
  <c r="AB267" i="1" s="1"/>
  <c r="AB268" i="1" s="1"/>
  <c r="AB269" i="1" s="1"/>
  <c r="AB270" i="1" s="1"/>
  <c r="AA266" i="1"/>
  <c r="Z266" i="1"/>
  <c r="Y266" i="1"/>
  <c r="X266" i="1"/>
  <c r="P266" i="1"/>
  <c r="O266" i="1"/>
  <c r="W266" i="1" s="1"/>
  <c r="J266" i="1"/>
  <c r="I266" i="1"/>
  <c r="V266" i="1" s="1"/>
  <c r="B266" i="1"/>
  <c r="B267" i="1" s="1"/>
  <c r="AB265" i="1"/>
  <c r="Z265" i="1"/>
  <c r="Y265" i="1"/>
  <c r="X265" i="1"/>
  <c r="P265" i="1"/>
  <c r="O265" i="1"/>
  <c r="AA265" i="1" s="1"/>
  <c r="J265" i="1"/>
  <c r="I265" i="1"/>
  <c r="V265" i="1" s="1"/>
  <c r="C265" i="1"/>
  <c r="C266" i="1" s="1"/>
  <c r="C267" i="1" s="1"/>
  <c r="Z264" i="1"/>
  <c r="Y264" i="1"/>
  <c r="X264" i="1"/>
  <c r="P264" i="1"/>
  <c r="P269" i="1" s="1"/>
  <c r="O264" i="1"/>
  <c r="AA264" i="1" s="1"/>
  <c r="J264" i="1"/>
  <c r="I264" i="1"/>
  <c r="V264" i="1" s="1"/>
  <c r="A264" i="1"/>
  <c r="A265" i="1" s="1"/>
  <c r="A266" i="1" s="1"/>
  <c r="A267" i="1" s="1"/>
  <c r="U7" i="4"/>
  <c r="T7" i="4"/>
  <c r="S7" i="4"/>
  <c r="R7" i="4"/>
  <c r="Q7" i="4"/>
  <c r="N7" i="4"/>
  <c r="M7" i="4"/>
  <c r="L7" i="4"/>
  <c r="K7" i="4"/>
  <c r="H7" i="4"/>
  <c r="G7" i="4"/>
  <c r="F7" i="4"/>
  <c r="E7" i="4"/>
  <c r="Z6" i="4"/>
  <c r="Y6" i="4"/>
  <c r="X6" i="4"/>
  <c r="P6" i="4"/>
  <c r="O6" i="4"/>
  <c r="J6" i="4"/>
  <c r="I6" i="4"/>
  <c r="Z5" i="4"/>
  <c r="Y5" i="4"/>
  <c r="X5" i="4"/>
  <c r="P5" i="4"/>
  <c r="O5" i="4"/>
  <c r="J5" i="4"/>
  <c r="I5" i="4"/>
  <c r="C5" i="4"/>
  <c r="C7" i="4" s="1"/>
  <c r="C8" i="4" s="1"/>
  <c r="Z4" i="4"/>
  <c r="Y4" i="4"/>
  <c r="X4" i="4"/>
  <c r="P4" i="4"/>
  <c r="O4" i="4"/>
  <c r="J4" i="4"/>
  <c r="V4" i="4" s="1"/>
  <c r="I4" i="4"/>
  <c r="C4" i="4"/>
  <c r="B4" i="4"/>
  <c r="B5" i="4" s="1"/>
  <c r="AB3" i="4"/>
  <c r="AB4" i="4" s="1"/>
  <c r="AB5" i="4" s="1"/>
  <c r="AB6" i="4" s="1"/>
  <c r="AB7" i="4" s="1"/>
  <c r="AB8" i="4" s="1"/>
  <c r="Z3" i="4"/>
  <c r="Y3" i="4"/>
  <c r="X3" i="4"/>
  <c r="P3" i="4"/>
  <c r="O3" i="4"/>
  <c r="J3" i="4"/>
  <c r="I3" i="4"/>
  <c r="C3" i="4"/>
  <c r="Z2" i="4"/>
  <c r="Y2" i="4"/>
  <c r="X2" i="4"/>
  <c r="P2" i="4"/>
  <c r="O2" i="4"/>
  <c r="J2" i="4"/>
  <c r="I2" i="4"/>
  <c r="A2" i="4"/>
  <c r="A3" i="4" s="1"/>
  <c r="A4" i="4" s="1"/>
  <c r="A5" i="4" s="1"/>
  <c r="Y262" i="1"/>
  <c r="U262" i="1"/>
  <c r="T262" i="1"/>
  <c r="S262" i="1"/>
  <c r="R262" i="1"/>
  <c r="Q262" i="1"/>
  <c r="N262" i="1"/>
  <c r="M262" i="1"/>
  <c r="L262" i="1"/>
  <c r="K262" i="1"/>
  <c r="X262" i="1" s="1"/>
  <c r="H262" i="1"/>
  <c r="Z262" i="1" s="1"/>
  <c r="G262" i="1"/>
  <c r="F262" i="1"/>
  <c r="E262" i="1"/>
  <c r="AA261" i="1"/>
  <c r="Z261" i="1"/>
  <c r="Y261" i="1"/>
  <c r="X261" i="1"/>
  <c r="W261" i="1"/>
  <c r="P261" i="1"/>
  <c r="O261" i="1"/>
  <c r="J261" i="1"/>
  <c r="I261" i="1"/>
  <c r="V261" i="1" s="1"/>
  <c r="AA260" i="1"/>
  <c r="Z260" i="1"/>
  <c r="Y260" i="1"/>
  <c r="X260" i="1"/>
  <c r="P260" i="1"/>
  <c r="O260" i="1"/>
  <c r="W260" i="1" s="1"/>
  <c r="J260" i="1"/>
  <c r="I260" i="1"/>
  <c r="V260" i="1" s="1"/>
  <c r="AB259" i="1"/>
  <c r="AB260" i="1" s="1"/>
  <c r="AB261" i="1" s="1"/>
  <c r="AB262" i="1" s="1"/>
  <c r="AB263" i="1" s="1"/>
  <c r="AA259" i="1"/>
  <c r="Z259" i="1"/>
  <c r="Y259" i="1"/>
  <c r="X259" i="1"/>
  <c r="P259" i="1"/>
  <c r="O259" i="1"/>
  <c r="W259" i="1" s="1"/>
  <c r="J259" i="1"/>
  <c r="I259" i="1"/>
  <c r="V259" i="1" s="1"/>
  <c r="B259" i="1"/>
  <c r="B260" i="1" s="1"/>
  <c r="AB258" i="1"/>
  <c r="Z258" i="1"/>
  <c r="Y258" i="1"/>
  <c r="X258" i="1"/>
  <c r="P258" i="1"/>
  <c r="O258" i="1"/>
  <c r="AA258" i="1" s="1"/>
  <c r="J258" i="1"/>
  <c r="I258" i="1"/>
  <c r="V258" i="1" s="1"/>
  <c r="C258" i="1"/>
  <c r="C259" i="1" s="1"/>
  <c r="C260" i="1" s="1"/>
  <c r="Z257" i="1"/>
  <c r="Y257" i="1"/>
  <c r="X257" i="1"/>
  <c r="P257" i="1"/>
  <c r="P262" i="1" s="1"/>
  <c r="O257" i="1"/>
  <c r="AA257" i="1" s="1"/>
  <c r="J257" i="1"/>
  <c r="I257" i="1"/>
  <c r="V257" i="1" s="1"/>
  <c r="A257" i="1"/>
  <c r="A258" i="1" s="1"/>
  <c r="A259" i="1" s="1"/>
  <c r="A260" i="1" s="1"/>
  <c r="J25" i="4"/>
  <c r="J26" i="4"/>
  <c r="J27" i="4"/>
  <c r="J28" i="4"/>
  <c r="J29" i="4"/>
  <c r="A28" i="4"/>
  <c r="Y255" i="1"/>
  <c r="U255" i="1"/>
  <c r="T255" i="1"/>
  <c r="S255" i="1"/>
  <c r="R255" i="1"/>
  <c r="Q255" i="1"/>
  <c r="N255" i="1"/>
  <c r="M255" i="1"/>
  <c r="L255" i="1"/>
  <c r="K255" i="1"/>
  <c r="X255" i="1" s="1"/>
  <c r="H255" i="1"/>
  <c r="Z255" i="1" s="1"/>
  <c r="G255" i="1"/>
  <c r="F255" i="1"/>
  <c r="E255" i="1"/>
  <c r="Z254" i="1"/>
  <c r="Y254" i="1"/>
  <c r="X254" i="1"/>
  <c r="W254" i="1"/>
  <c r="P254" i="1"/>
  <c r="O254" i="1"/>
  <c r="J254" i="1"/>
  <c r="I254" i="1"/>
  <c r="V254" i="1" s="1"/>
  <c r="AA253" i="1"/>
  <c r="Z253" i="1"/>
  <c r="Y253" i="1"/>
  <c r="X253" i="1"/>
  <c r="P253" i="1"/>
  <c r="O253" i="1"/>
  <c r="W253" i="1" s="1"/>
  <c r="J253" i="1"/>
  <c r="I253" i="1"/>
  <c r="V253" i="1" s="1"/>
  <c r="AB252" i="1"/>
  <c r="AB253" i="1" s="1"/>
  <c r="AB254" i="1" s="1"/>
  <c r="AB255" i="1" s="1"/>
  <c r="AB256" i="1" s="1"/>
  <c r="AA252" i="1"/>
  <c r="Z252" i="1"/>
  <c r="Y252" i="1"/>
  <c r="X252" i="1"/>
  <c r="P252" i="1"/>
  <c r="O252" i="1"/>
  <c r="W252" i="1" s="1"/>
  <c r="J252" i="1"/>
  <c r="I252" i="1"/>
  <c r="V252" i="1" s="1"/>
  <c r="B252" i="1"/>
  <c r="B253" i="1" s="1"/>
  <c r="AB251" i="1"/>
  <c r="Z251" i="1"/>
  <c r="Y251" i="1"/>
  <c r="X251" i="1"/>
  <c r="P251" i="1"/>
  <c r="O251" i="1"/>
  <c r="AA251" i="1" s="1"/>
  <c r="J251" i="1"/>
  <c r="I251" i="1"/>
  <c r="V251" i="1" s="1"/>
  <c r="C251" i="1"/>
  <c r="C252" i="1" s="1"/>
  <c r="C253" i="1" s="1"/>
  <c r="Z250" i="1"/>
  <c r="Y250" i="1"/>
  <c r="X250" i="1"/>
  <c r="P250" i="1"/>
  <c r="P255" i="1" s="1"/>
  <c r="O250" i="1"/>
  <c r="AA250" i="1" s="1"/>
  <c r="J250" i="1"/>
  <c r="J255" i="1" s="1"/>
  <c r="I250" i="1"/>
  <c r="V250" i="1" s="1"/>
  <c r="A250" i="1"/>
  <c r="A251" i="1" s="1"/>
  <c r="A252" i="1" s="1"/>
  <c r="B28" i="4"/>
  <c r="Y248" i="1"/>
  <c r="U248" i="1"/>
  <c r="T248" i="1"/>
  <c r="S248" i="1"/>
  <c r="R248" i="1"/>
  <c r="Q248" i="1"/>
  <c r="N248" i="1"/>
  <c r="M248" i="1"/>
  <c r="L248" i="1"/>
  <c r="X248" i="1" s="1"/>
  <c r="K248" i="1"/>
  <c r="H248" i="1"/>
  <c r="Z248" i="1" s="1"/>
  <c r="G248" i="1"/>
  <c r="F248" i="1"/>
  <c r="E248" i="1"/>
  <c r="AA247" i="1"/>
  <c r="Z247" i="1"/>
  <c r="Y247" i="1"/>
  <c r="X247" i="1"/>
  <c r="W247" i="1"/>
  <c r="P247" i="1"/>
  <c r="O247" i="1"/>
  <c r="J247" i="1"/>
  <c r="I247" i="1"/>
  <c r="V247" i="1" s="1"/>
  <c r="AA246" i="1"/>
  <c r="Z246" i="1"/>
  <c r="Y246" i="1"/>
  <c r="X246" i="1"/>
  <c r="P246" i="1"/>
  <c r="O246" i="1"/>
  <c r="W246" i="1" s="1"/>
  <c r="J246" i="1"/>
  <c r="I246" i="1"/>
  <c r="V246" i="1" s="1"/>
  <c r="AB245" i="1"/>
  <c r="AB246" i="1" s="1"/>
  <c r="AB247" i="1" s="1"/>
  <c r="AB248" i="1" s="1"/>
  <c r="AB249" i="1" s="1"/>
  <c r="AA245" i="1"/>
  <c r="Z245" i="1"/>
  <c r="Y245" i="1"/>
  <c r="X245" i="1"/>
  <c r="P245" i="1"/>
  <c r="O245" i="1"/>
  <c r="W245" i="1" s="1"/>
  <c r="J245" i="1"/>
  <c r="I245" i="1"/>
  <c r="V245" i="1" s="1"/>
  <c r="B245" i="1"/>
  <c r="B247" i="1" s="1"/>
  <c r="AB244" i="1"/>
  <c r="Z244" i="1"/>
  <c r="Y244" i="1"/>
  <c r="X244" i="1"/>
  <c r="P244" i="1"/>
  <c r="O244" i="1"/>
  <c r="AA244" i="1" s="1"/>
  <c r="J244" i="1"/>
  <c r="I244" i="1"/>
  <c r="V244" i="1" s="1"/>
  <c r="C244" i="1"/>
  <c r="C245" i="1" s="1"/>
  <c r="Z243" i="1"/>
  <c r="Y243" i="1"/>
  <c r="X243" i="1"/>
  <c r="P243" i="1"/>
  <c r="P248" i="1" s="1"/>
  <c r="O243" i="1"/>
  <c r="AA243" i="1" s="1"/>
  <c r="J243" i="1"/>
  <c r="I243" i="1"/>
  <c r="I248" i="1" s="1"/>
  <c r="A243" i="1"/>
  <c r="A244" i="1" s="1"/>
  <c r="A245" i="1" s="1"/>
  <c r="Y241" i="1"/>
  <c r="U241" i="1"/>
  <c r="T241" i="1"/>
  <c r="S241" i="1"/>
  <c r="R241" i="1"/>
  <c r="Q241" i="1"/>
  <c r="N241" i="1"/>
  <c r="M241" i="1"/>
  <c r="L241" i="1"/>
  <c r="K241" i="1"/>
  <c r="X241" i="1" s="1"/>
  <c r="I241" i="1"/>
  <c r="V241" i="1" s="1"/>
  <c r="H241" i="1"/>
  <c r="Z241" i="1" s="1"/>
  <c r="G241" i="1"/>
  <c r="F241" i="1"/>
  <c r="J241" i="1" s="1"/>
  <c r="E241" i="1"/>
  <c r="Z240" i="1"/>
  <c r="Y240" i="1"/>
  <c r="X240" i="1"/>
  <c r="W240" i="1"/>
  <c r="P240" i="1"/>
  <c r="O240" i="1"/>
  <c r="AA240" i="1" s="1"/>
  <c r="J240" i="1"/>
  <c r="I240" i="1"/>
  <c r="V240" i="1" s="1"/>
  <c r="Z239" i="1"/>
  <c r="Y239" i="1"/>
  <c r="X239" i="1"/>
  <c r="P239" i="1"/>
  <c r="O239" i="1"/>
  <c r="J239" i="1"/>
  <c r="W239" i="1" s="1"/>
  <c r="I239" i="1"/>
  <c r="V239" i="1" s="1"/>
  <c r="AB238" i="1"/>
  <c r="AB239" i="1" s="1"/>
  <c r="AB240" i="1" s="1"/>
  <c r="AB241" i="1" s="1"/>
  <c r="AB242" i="1" s="1"/>
  <c r="Z238" i="1"/>
  <c r="Y238" i="1"/>
  <c r="X238" i="1"/>
  <c r="P238" i="1"/>
  <c r="O238" i="1"/>
  <c r="W238" i="1" s="1"/>
  <c r="J238" i="1"/>
  <c r="I238" i="1"/>
  <c r="V238" i="1" s="1"/>
  <c r="B238" i="1"/>
  <c r="B239" i="1" s="1"/>
  <c r="AB237" i="1"/>
  <c r="Z237" i="1"/>
  <c r="Y237" i="1"/>
  <c r="X237" i="1"/>
  <c r="W237" i="1"/>
  <c r="V237" i="1"/>
  <c r="P237" i="1"/>
  <c r="O237" i="1"/>
  <c r="J237" i="1"/>
  <c r="I237" i="1"/>
  <c r="AA237" i="1" s="1"/>
  <c r="C237" i="1"/>
  <c r="C238" i="1" s="1"/>
  <c r="C239" i="1" s="1"/>
  <c r="Z236" i="1"/>
  <c r="Y236" i="1"/>
  <c r="X236" i="1"/>
  <c r="W236" i="1"/>
  <c r="V236" i="1"/>
  <c r="P236" i="1"/>
  <c r="P241" i="1" s="1"/>
  <c r="O236" i="1"/>
  <c r="O241" i="1" s="1"/>
  <c r="W241" i="1" s="1"/>
  <c r="J236" i="1"/>
  <c r="I236" i="1"/>
  <c r="AA236" i="1" s="1"/>
  <c r="A236" i="1"/>
  <c r="A237" i="1" s="1"/>
  <c r="A238" i="1" s="1"/>
  <c r="A239" i="1" s="1"/>
  <c r="Y234" i="1"/>
  <c r="U234" i="1"/>
  <c r="T234" i="1"/>
  <c r="S234" i="1"/>
  <c r="R234" i="1"/>
  <c r="Q234" i="1"/>
  <c r="N234" i="1"/>
  <c r="M234" i="1"/>
  <c r="L234" i="1"/>
  <c r="K234" i="1"/>
  <c r="X234" i="1" s="1"/>
  <c r="H234" i="1"/>
  <c r="Z234" i="1" s="1"/>
  <c r="G234" i="1"/>
  <c r="F234" i="1"/>
  <c r="E234" i="1"/>
  <c r="Z233" i="1"/>
  <c r="Y233" i="1"/>
  <c r="X233" i="1"/>
  <c r="W233" i="1"/>
  <c r="P233" i="1"/>
  <c r="O233" i="1"/>
  <c r="J233" i="1"/>
  <c r="I233" i="1"/>
  <c r="V233" i="1" s="1"/>
  <c r="AA232" i="1"/>
  <c r="Z232" i="1"/>
  <c r="Y232" i="1"/>
  <c r="X232" i="1"/>
  <c r="P232" i="1"/>
  <c r="O232" i="1"/>
  <c r="W232" i="1" s="1"/>
  <c r="I232" i="1"/>
  <c r="V232" i="1" s="1"/>
  <c r="AA231" i="1"/>
  <c r="Z231" i="1"/>
  <c r="Y231" i="1"/>
  <c r="X231" i="1"/>
  <c r="P231" i="1"/>
  <c r="O231" i="1"/>
  <c r="W231" i="1" s="1"/>
  <c r="J231" i="1"/>
  <c r="I231" i="1"/>
  <c r="V231" i="1" s="1"/>
  <c r="C231" i="1"/>
  <c r="C234" i="1" s="1"/>
  <c r="C235" i="1" s="1"/>
  <c r="AB230" i="1"/>
  <c r="AB231" i="1" s="1"/>
  <c r="AB232" i="1" s="1"/>
  <c r="Z230" i="1"/>
  <c r="Y230" i="1"/>
  <c r="X230" i="1"/>
  <c r="P230" i="1"/>
  <c r="O230" i="1"/>
  <c r="AA230" i="1" s="1"/>
  <c r="J230" i="1"/>
  <c r="W230" i="1" s="1"/>
  <c r="I230" i="1"/>
  <c r="V230" i="1" s="1"/>
  <c r="C230" i="1"/>
  <c r="C232" i="1" s="1"/>
  <c r="C233" i="1" s="1"/>
  <c r="B230" i="1"/>
  <c r="B232" i="1" s="1"/>
  <c r="B233" i="1" s="1"/>
  <c r="AB229" i="1"/>
  <c r="Z229" i="1"/>
  <c r="Y229" i="1"/>
  <c r="X229" i="1"/>
  <c r="P229" i="1"/>
  <c r="O229" i="1"/>
  <c r="AA229" i="1" s="1"/>
  <c r="J229" i="1"/>
  <c r="I229" i="1"/>
  <c r="V229" i="1" s="1"/>
  <c r="C229" i="1"/>
  <c r="A229" i="1"/>
  <c r="A230" i="1" s="1"/>
  <c r="Z228" i="1"/>
  <c r="Y228" i="1"/>
  <c r="X228" i="1"/>
  <c r="P228" i="1"/>
  <c r="O228" i="1"/>
  <c r="AA228" i="1" s="1"/>
  <c r="J228" i="1"/>
  <c r="J234" i="1" s="1"/>
  <c r="I228" i="1"/>
  <c r="V228" i="1" s="1"/>
  <c r="A228" i="1"/>
  <c r="U226" i="1"/>
  <c r="T226" i="1"/>
  <c r="S226" i="1"/>
  <c r="R226" i="1"/>
  <c r="Q226" i="1"/>
  <c r="N226" i="1"/>
  <c r="M226" i="1"/>
  <c r="L226" i="1"/>
  <c r="K226" i="1"/>
  <c r="X226" i="1" s="1"/>
  <c r="H226" i="1"/>
  <c r="G226" i="1"/>
  <c r="Z226" i="1" s="1"/>
  <c r="F226" i="1"/>
  <c r="E226" i="1"/>
  <c r="Y226" i="1" s="1"/>
  <c r="C226" i="1"/>
  <c r="C227" i="1" s="1"/>
  <c r="Z225" i="1"/>
  <c r="Y225" i="1"/>
  <c r="X225" i="1"/>
  <c r="P225" i="1"/>
  <c r="O225" i="1"/>
  <c r="W225" i="1" s="1"/>
  <c r="J225" i="1"/>
  <c r="AA225" i="1" s="1"/>
  <c r="I225" i="1"/>
  <c r="V225" i="1" s="1"/>
  <c r="C225" i="1"/>
  <c r="Z224" i="1"/>
  <c r="Y224" i="1"/>
  <c r="X224" i="1"/>
  <c r="P224" i="1"/>
  <c r="O224" i="1"/>
  <c r="J224" i="1"/>
  <c r="W224" i="1" s="1"/>
  <c r="I224" i="1"/>
  <c r="C224" i="1"/>
  <c r="B224" i="1"/>
  <c r="B225" i="1" s="1"/>
  <c r="AB223" i="1"/>
  <c r="AB224" i="1" s="1"/>
  <c r="Z223" i="1"/>
  <c r="Y223" i="1"/>
  <c r="X223" i="1"/>
  <c r="W223" i="1"/>
  <c r="P223" i="1"/>
  <c r="P226" i="1" s="1"/>
  <c r="O223" i="1"/>
  <c r="J223" i="1"/>
  <c r="V223" i="1" s="1"/>
  <c r="I223" i="1"/>
  <c r="AA223" i="1" s="1"/>
  <c r="C223" i="1"/>
  <c r="B223" i="1"/>
  <c r="B226" i="1" s="1"/>
  <c r="B227" i="1" s="1"/>
  <c r="AB222" i="1"/>
  <c r="Z222" i="1"/>
  <c r="Y222" i="1"/>
  <c r="X222" i="1"/>
  <c r="W222" i="1"/>
  <c r="P222" i="1"/>
  <c r="O222" i="1"/>
  <c r="J222" i="1"/>
  <c r="I222" i="1"/>
  <c r="AA222" i="1" s="1"/>
  <c r="C222" i="1"/>
  <c r="B222" i="1"/>
  <c r="A222" i="1"/>
  <c r="A224" i="1" s="1"/>
  <c r="A225" i="1" s="1"/>
  <c r="Z221" i="1"/>
  <c r="Y221" i="1"/>
  <c r="X221" i="1"/>
  <c r="P221" i="1"/>
  <c r="O221" i="1"/>
  <c r="AA221" i="1" s="1"/>
  <c r="J221" i="1"/>
  <c r="V221" i="1" s="1"/>
  <c r="I221" i="1"/>
  <c r="I226" i="1" s="1"/>
  <c r="A221" i="1"/>
  <c r="F29" i="4"/>
  <c r="G29" i="4"/>
  <c r="Z29" i="4" s="1"/>
  <c r="H29" i="4"/>
  <c r="K29" i="4"/>
  <c r="L29" i="4"/>
  <c r="M29" i="4"/>
  <c r="N29" i="4"/>
  <c r="Q29" i="4"/>
  <c r="R29" i="4"/>
  <c r="S29" i="4"/>
  <c r="T29" i="4"/>
  <c r="U29" i="4"/>
  <c r="E29" i="4"/>
  <c r="A24" i="4"/>
  <c r="A25" i="4" s="1"/>
  <c r="A26" i="4" s="1"/>
  <c r="AB25" i="4"/>
  <c r="AB26" i="4" s="1"/>
  <c r="AB27" i="4" s="1"/>
  <c r="AB28" i="4" s="1"/>
  <c r="AB29" i="4" s="1"/>
  <c r="AB30" i="4" s="1"/>
  <c r="A214" i="1"/>
  <c r="A215" i="1" s="1"/>
  <c r="Y219" i="1"/>
  <c r="U219" i="1"/>
  <c r="T219" i="1"/>
  <c r="S219" i="1"/>
  <c r="R219" i="1"/>
  <c r="Q219" i="1"/>
  <c r="N219" i="1"/>
  <c r="M219" i="1"/>
  <c r="L219" i="1"/>
  <c r="K219" i="1"/>
  <c r="X219" i="1" s="1"/>
  <c r="H219" i="1"/>
  <c r="G219" i="1"/>
  <c r="Z219" i="1" s="1"/>
  <c r="F219" i="1"/>
  <c r="E219" i="1"/>
  <c r="Z218" i="1"/>
  <c r="Y218" i="1"/>
  <c r="X218" i="1"/>
  <c r="W218" i="1"/>
  <c r="P218" i="1"/>
  <c r="O218" i="1"/>
  <c r="J218" i="1"/>
  <c r="I218" i="1"/>
  <c r="V218" i="1" s="1"/>
  <c r="B218" i="1"/>
  <c r="AA217" i="1"/>
  <c r="Z217" i="1"/>
  <c r="Y217" i="1"/>
  <c r="X217" i="1"/>
  <c r="P217" i="1"/>
  <c r="O217" i="1"/>
  <c r="W217" i="1" s="1"/>
  <c r="J217" i="1"/>
  <c r="I217" i="1"/>
  <c r="V217" i="1" s="1"/>
  <c r="B217" i="1"/>
  <c r="AB216" i="1"/>
  <c r="AB217" i="1" s="1"/>
  <c r="AA216" i="1"/>
  <c r="Z216" i="1"/>
  <c r="Y216" i="1"/>
  <c r="X216" i="1"/>
  <c r="V216" i="1"/>
  <c r="P216" i="1"/>
  <c r="O216" i="1"/>
  <c r="W216" i="1" s="1"/>
  <c r="J216" i="1"/>
  <c r="I216" i="1"/>
  <c r="B216" i="1"/>
  <c r="B219" i="1" s="1"/>
  <c r="B220" i="1" s="1"/>
  <c r="AB215" i="1"/>
  <c r="Z215" i="1"/>
  <c r="Y215" i="1"/>
  <c r="X215" i="1"/>
  <c r="P215" i="1"/>
  <c r="O215" i="1"/>
  <c r="AA215" i="1" s="1"/>
  <c r="J215" i="1"/>
  <c r="I215" i="1"/>
  <c r="V215" i="1" s="1"/>
  <c r="C215" i="1"/>
  <c r="C217" i="1" s="1"/>
  <c r="C218" i="1" s="1"/>
  <c r="B215" i="1"/>
  <c r="Z214" i="1"/>
  <c r="Y214" i="1"/>
  <c r="X214" i="1"/>
  <c r="P214" i="1"/>
  <c r="P219" i="1" s="1"/>
  <c r="O214" i="1"/>
  <c r="AA214" i="1" s="1"/>
  <c r="J214" i="1"/>
  <c r="J219" i="1" s="1"/>
  <c r="I214" i="1"/>
  <c r="V214" i="1" s="1"/>
  <c r="C25" i="4"/>
  <c r="C26" i="4" s="1"/>
  <c r="Z28" i="4"/>
  <c r="Y28" i="4"/>
  <c r="X28" i="4"/>
  <c r="P28" i="4"/>
  <c r="O28" i="4"/>
  <c r="I28" i="4"/>
  <c r="Z27" i="4"/>
  <c r="Y27" i="4"/>
  <c r="X27" i="4"/>
  <c r="P27" i="4"/>
  <c r="O27" i="4"/>
  <c r="I27" i="4"/>
  <c r="V27" i="4" s="1"/>
  <c r="Z26" i="4"/>
  <c r="Y26" i="4"/>
  <c r="X26" i="4"/>
  <c r="P26" i="4"/>
  <c r="O26" i="4"/>
  <c r="I26" i="4"/>
  <c r="B26" i="4"/>
  <c r="Z25" i="4"/>
  <c r="Y25" i="4"/>
  <c r="X25" i="4"/>
  <c r="P25" i="4"/>
  <c r="O25" i="4"/>
  <c r="I25" i="4"/>
  <c r="Y212" i="1"/>
  <c r="U212" i="1"/>
  <c r="T212" i="1"/>
  <c r="S212" i="1"/>
  <c r="R212" i="1"/>
  <c r="Q212" i="1"/>
  <c r="N212" i="1"/>
  <c r="M212" i="1"/>
  <c r="L212" i="1"/>
  <c r="K212" i="1"/>
  <c r="X212" i="1" s="1"/>
  <c r="H212" i="1"/>
  <c r="Z212" i="1" s="1"/>
  <c r="G212" i="1"/>
  <c r="F212" i="1"/>
  <c r="E212" i="1"/>
  <c r="C212" i="1"/>
  <c r="C213" i="1" s="1"/>
  <c r="Z211" i="1"/>
  <c r="Y211" i="1"/>
  <c r="X211" i="1"/>
  <c r="P211" i="1"/>
  <c r="O211" i="1"/>
  <c r="J211" i="1"/>
  <c r="AA211" i="1" s="1"/>
  <c r="I211" i="1"/>
  <c r="V211" i="1" s="1"/>
  <c r="Z210" i="1"/>
  <c r="Y210" i="1"/>
  <c r="X210" i="1"/>
  <c r="P210" i="1"/>
  <c r="P212" i="1" s="1"/>
  <c r="O210" i="1"/>
  <c r="W210" i="1" s="1"/>
  <c r="J210" i="1"/>
  <c r="I210" i="1"/>
  <c r="V210" i="1" s="1"/>
  <c r="Z209" i="1"/>
  <c r="Y209" i="1"/>
  <c r="X209" i="1"/>
  <c r="P209" i="1"/>
  <c r="O209" i="1"/>
  <c r="W209" i="1" s="1"/>
  <c r="J209" i="1"/>
  <c r="I209" i="1"/>
  <c r="V209" i="1" s="1"/>
  <c r="C209" i="1"/>
  <c r="Z208" i="1"/>
  <c r="Y208" i="1"/>
  <c r="X208" i="1"/>
  <c r="V208" i="1"/>
  <c r="P208" i="1"/>
  <c r="O208" i="1"/>
  <c r="AA208" i="1" s="1"/>
  <c r="J208" i="1"/>
  <c r="I208" i="1"/>
  <c r="I212" i="1" s="1"/>
  <c r="C208" i="1"/>
  <c r="C210" i="1" s="1"/>
  <c r="C211" i="1" s="1"/>
  <c r="AB207" i="1"/>
  <c r="AB208" i="1" s="1"/>
  <c r="AB209" i="1" s="1"/>
  <c r="AB210" i="1" s="1"/>
  <c r="AA207" i="1"/>
  <c r="Z207" i="1"/>
  <c r="Y207" i="1"/>
  <c r="X207" i="1"/>
  <c r="P207" i="1"/>
  <c r="O207" i="1"/>
  <c r="W207" i="1" s="1"/>
  <c r="J207" i="1"/>
  <c r="V207" i="1" s="1"/>
  <c r="I207" i="1"/>
  <c r="C207" i="1"/>
  <c r="B207" i="1"/>
  <c r="B208" i="1" s="1"/>
  <c r="A207" i="1"/>
  <c r="A208" i="1" s="1"/>
  <c r="Z206" i="1"/>
  <c r="Y206" i="1"/>
  <c r="X206" i="1"/>
  <c r="V206" i="1"/>
  <c r="P206" i="1"/>
  <c r="O206" i="1"/>
  <c r="O212" i="1" s="1"/>
  <c r="J206" i="1"/>
  <c r="I206" i="1"/>
  <c r="A206" i="1"/>
  <c r="Y204" i="1"/>
  <c r="U204" i="1"/>
  <c r="T204" i="1"/>
  <c r="S204" i="1"/>
  <c r="R204" i="1"/>
  <c r="Q204" i="1"/>
  <c r="N204" i="1"/>
  <c r="M204" i="1"/>
  <c r="L204" i="1"/>
  <c r="K204" i="1"/>
  <c r="X204" i="1" s="1"/>
  <c r="I204" i="1"/>
  <c r="H204" i="1"/>
  <c r="G204" i="1"/>
  <c r="Z204" i="1" s="1"/>
  <c r="F204" i="1"/>
  <c r="E204" i="1"/>
  <c r="Z203" i="1"/>
  <c r="Y203" i="1"/>
  <c r="X203" i="1"/>
  <c r="W203" i="1"/>
  <c r="P203" i="1"/>
  <c r="O203" i="1"/>
  <c r="J203" i="1"/>
  <c r="I203" i="1"/>
  <c r="V203" i="1" s="1"/>
  <c r="AA202" i="1"/>
  <c r="Z202" i="1"/>
  <c r="Y202" i="1"/>
  <c r="X202" i="1"/>
  <c r="P202" i="1"/>
  <c r="O202" i="1"/>
  <c r="W202" i="1" s="1"/>
  <c r="J202" i="1"/>
  <c r="I202" i="1"/>
  <c r="V202" i="1" s="1"/>
  <c r="AA201" i="1"/>
  <c r="Z201" i="1"/>
  <c r="Y201" i="1"/>
  <c r="X201" i="1"/>
  <c r="P201" i="1"/>
  <c r="O201" i="1"/>
  <c r="W201" i="1" s="1"/>
  <c r="J201" i="1"/>
  <c r="I201" i="1"/>
  <c r="V201" i="1" s="1"/>
  <c r="Z200" i="1"/>
  <c r="Y200" i="1"/>
  <c r="X200" i="1"/>
  <c r="P200" i="1"/>
  <c r="O200" i="1"/>
  <c r="AA200" i="1" s="1"/>
  <c r="J200" i="1"/>
  <c r="I200" i="1"/>
  <c r="V200" i="1" s="1"/>
  <c r="C200" i="1"/>
  <c r="C202" i="1" s="1"/>
  <c r="C203" i="1" s="1"/>
  <c r="AB199" i="1"/>
  <c r="AB200" i="1" s="1"/>
  <c r="AB201" i="1" s="1"/>
  <c r="AB202" i="1" s="1"/>
  <c r="Z199" i="1"/>
  <c r="Y199" i="1"/>
  <c r="X199" i="1"/>
  <c r="P199" i="1"/>
  <c r="O199" i="1"/>
  <c r="AA199" i="1" s="1"/>
  <c r="J199" i="1"/>
  <c r="V199" i="1" s="1"/>
  <c r="I199" i="1"/>
  <c r="C199" i="1"/>
  <c r="B199" i="1"/>
  <c r="B200" i="1" s="1"/>
  <c r="Z198" i="1"/>
  <c r="Y198" i="1"/>
  <c r="X198" i="1"/>
  <c r="V198" i="1"/>
  <c r="P198" i="1"/>
  <c r="P204" i="1" s="1"/>
  <c r="O198" i="1"/>
  <c r="O204" i="1" s="1"/>
  <c r="J198" i="1"/>
  <c r="I198" i="1"/>
  <c r="A198" i="1"/>
  <c r="A199" i="1" s="1"/>
  <c r="A200" i="1" s="1"/>
  <c r="Y196" i="1"/>
  <c r="U196" i="1"/>
  <c r="T196" i="1"/>
  <c r="S196" i="1"/>
  <c r="R196" i="1"/>
  <c r="Q196" i="1"/>
  <c r="N196" i="1"/>
  <c r="M196" i="1"/>
  <c r="L196" i="1"/>
  <c r="K196" i="1"/>
  <c r="X196" i="1" s="1"/>
  <c r="H196" i="1"/>
  <c r="Z196" i="1" s="1"/>
  <c r="G196" i="1"/>
  <c r="F196" i="1"/>
  <c r="E196" i="1"/>
  <c r="Z195" i="1"/>
  <c r="Y195" i="1"/>
  <c r="X195" i="1"/>
  <c r="W195" i="1"/>
  <c r="P195" i="1"/>
  <c r="O195" i="1"/>
  <c r="J195" i="1"/>
  <c r="I195" i="1"/>
  <c r="V195" i="1" s="1"/>
  <c r="AA194" i="1"/>
  <c r="Z194" i="1"/>
  <c r="Y194" i="1"/>
  <c r="X194" i="1"/>
  <c r="P194" i="1"/>
  <c r="O194" i="1"/>
  <c r="W194" i="1" s="1"/>
  <c r="J194" i="1"/>
  <c r="I194" i="1"/>
  <c r="V194" i="1" s="1"/>
  <c r="AA193" i="1"/>
  <c r="Z193" i="1"/>
  <c r="Y193" i="1"/>
  <c r="X193" i="1"/>
  <c r="P193" i="1"/>
  <c r="O193" i="1"/>
  <c r="W193" i="1" s="1"/>
  <c r="J193" i="1"/>
  <c r="I193" i="1"/>
  <c r="V193" i="1" s="1"/>
  <c r="Z192" i="1"/>
  <c r="Y192" i="1"/>
  <c r="X192" i="1"/>
  <c r="P192" i="1"/>
  <c r="O192" i="1"/>
  <c r="AA192" i="1" s="1"/>
  <c r="J192" i="1"/>
  <c r="I192" i="1"/>
  <c r="V192" i="1" s="1"/>
  <c r="C192" i="1"/>
  <c r="C194" i="1" s="1"/>
  <c r="C195" i="1" s="1"/>
  <c r="AB191" i="1"/>
  <c r="AB192" i="1" s="1"/>
  <c r="AB193" i="1" s="1"/>
  <c r="AB194" i="1" s="1"/>
  <c r="Z191" i="1"/>
  <c r="Y191" i="1"/>
  <c r="X191" i="1"/>
  <c r="P191" i="1"/>
  <c r="O191" i="1"/>
  <c r="AA191" i="1" s="1"/>
  <c r="J191" i="1"/>
  <c r="V191" i="1" s="1"/>
  <c r="I191" i="1"/>
  <c r="C191" i="1"/>
  <c r="B191" i="1"/>
  <c r="B192" i="1" s="1"/>
  <c r="Z190" i="1"/>
  <c r="Y190" i="1"/>
  <c r="X190" i="1"/>
  <c r="V190" i="1"/>
  <c r="P190" i="1"/>
  <c r="P196" i="1" s="1"/>
  <c r="O190" i="1"/>
  <c r="O196" i="1" s="1"/>
  <c r="J190" i="1"/>
  <c r="I190" i="1"/>
  <c r="A190" i="1"/>
  <c r="A191" i="1" s="1"/>
  <c r="A192" i="1" s="1"/>
  <c r="O188" i="1"/>
  <c r="Y188" i="1"/>
  <c r="U188" i="1"/>
  <c r="T188" i="1"/>
  <c r="S188" i="1"/>
  <c r="R188" i="1"/>
  <c r="Q188" i="1"/>
  <c r="N188" i="1"/>
  <c r="M188" i="1"/>
  <c r="L188" i="1"/>
  <c r="K188" i="1"/>
  <c r="X188" i="1" s="1"/>
  <c r="H188" i="1"/>
  <c r="Z188" i="1" s="1"/>
  <c r="G188" i="1"/>
  <c r="F188" i="1"/>
  <c r="E188" i="1"/>
  <c r="AA187" i="1"/>
  <c r="Z187" i="1"/>
  <c r="Y187" i="1"/>
  <c r="X187" i="1"/>
  <c r="W187" i="1"/>
  <c r="P187" i="1"/>
  <c r="O187" i="1"/>
  <c r="J187" i="1"/>
  <c r="I187" i="1"/>
  <c r="V187" i="1" s="1"/>
  <c r="AA186" i="1"/>
  <c r="Z186" i="1"/>
  <c r="Y186" i="1"/>
  <c r="X186" i="1"/>
  <c r="P186" i="1"/>
  <c r="O186" i="1"/>
  <c r="W186" i="1" s="1"/>
  <c r="J186" i="1"/>
  <c r="I186" i="1"/>
  <c r="V186" i="1" s="1"/>
  <c r="B186" i="1"/>
  <c r="B187" i="1" s="1"/>
  <c r="AB185" i="1"/>
  <c r="AB186" i="1" s="1"/>
  <c r="AA185" i="1"/>
  <c r="Z185" i="1"/>
  <c r="Y185" i="1"/>
  <c r="X185" i="1"/>
  <c r="P185" i="1"/>
  <c r="O185" i="1"/>
  <c r="W185" i="1" s="1"/>
  <c r="J185" i="1"/>
  <c r="I185" i="1"/>
  <c r="V185" i="1" s="1"/>
  <c r="B185" i="1"/>
  <c r="B188" i="1" s="1"/>
  <c r="B189" i="1" s="1"/>
  <c r="AB184" i="1"/>
  <c r="Z184" i="1"/>
  <c r="Y184" i="1"/>
  <c r="X184" i="1"/>
  <c r="P184" i="1"/>
  <c r="O184" i="1"/>
  <c r="AA184" i="1" s="1"/>
  <c r="J184" i="1"/>
  <c r="I184" i="1"/>
  <c r="V184" i="1" s="1"/>
  <c r="C184" i="1"/>
  <c r="C186" i="1" s="1"/>
  <c r="C187" i="1" s="1"/>
  <c r="B184" i="1"/>
  <c r="Z183" i="1"/>
  <c r="Y183" i="1"/>
  <c r="X183" i="1"/>
  <c r="P183" i="1"/>
  <c r="P188" i="1" s="1"/>
  <c r="O183" i="1"/>
  <c r="AA183" i="1" s="1"/>
  <c r="J183" i="1"/>
  <c r="J188" i="1" s="1"/>
  <c r="I183" i="1"/>
  <c r="V183" i="1" s="1"/>
  <c r="A183" i="1"/>
  <c r="A184" i="1" s="1"/>
  <c r="W177" i="1"/>
  <c r="W178" i="1"/>
  <c r="W179" i="1"/>
  <c r="W180" i="1"/>
  <c r="W181" i="1"/>
  <c r="W176" i="1"/>
  <c r="W169" i="1"/>
  <c r="W170" i="1"/>
  <c r="W171" i="1"/>
  <c r="W172" i="1"/>
  <c r="W173" i="1"/>
  <c r="W174" i="1"/>
  <c r="W168" i="1"/>
  <c r="W162" i="1"/>
  <c r="W163" i="1"/>
  <c r="W164" i="1"/>
  <c r="W165" i="1"/>
  <c r="W166" i="1"/>
  <c r="W161" i="1"/>
  <c r="W154" i="1"/>
  <c r="W155" i="1"/>
  <c r="W156" i="1"/>
  <c r="W157" i="1"/>
  <c r="W158" i="1"/>
  <c r="W159" i="1"/>
  <c r="W153" i="1"/>
  <c r="W146" i="1"/>
  <c r="W147" i="1"/>
  <c r="W148" i="1"/>
  <c r="W149" i="1"/>
  <c r="W150" i="1"/>
  <c r="W151" i="1"/>
  <c r="W145" i="1"/>
  <c r="W138" i="1"/>
  <c r="W139" i="1"/>
  <c r="W140" i="1"/>
  <c r="W141" i="1"/>
  <c r="W142" i="1"/>
  <c r="W143" i="1"/>
  <c r="W137" i="1"/>
  <c r="W130" i="1"/>
  <c r="W131" i="1"/>
  <c r="W132" i="1"/>
  <c r="W133" i="1"/>
  <c r="W134" i="1"/>
  <c r="W135" i="1"/>
  <c r="W129" i="1"/>
  <c r="W123" i="1"/>
  <c r="W124" i="1"/>
  <c r="W125" i="1"/>
  <c r="W126" i="1"/>
  <c r="W127" i="1"/>
  <c r="W122" i="1"/>
  <c r="W114" i="1"/>
  <c r="W115" i="1"/>
  <c r="W116" i="1"/>
  <c r="W117" i="1"/>
  <c r="W118" i="1"/>
  <c r="W119" i="1"/>
  <c r="W120" i="1"/>
  <c r="W113" i="1"/>
  <c r="W105" i="1"/>
  <c r="W106" i="1"/>
  <c r="W107" i="1"/>
  <c r="W108" i="1"/>
  <c r="W109" i="1"/>
  <c r="W110" i="1"/>
  <c r="W111" i="1"/>
  <c r="W104" i="1"/>
  <c r="W97" i="1"/>
  <c r="W98" i="1"/>
  <c r="W99" i="1"/>
  <c r="W100" i="1"/>
  <c r="W101" i="1"/>
  <c r="W102" i="1"/>
  <c r="W96" i="1"/>
  <c r="W88" i="1"/>
  <c r="W89" i="1"/>
  <c r="W90" i="1"/>
  <c r="W91" i="1"/>
  <c r="W92" i="1"/>
  <c r="W93" i="1"/>
  <c r="W94" i="1"/>
  <c r="W87" i="1"/>
  <c r="W79" i="1"/>
  <c r="W80" i="1"/>
  <c r="W81" i="1"/>
  <c r="W82" i="1"/>
  <c r="W83" i="1"/>
  <c r="W84" i="1"/>
  <c r="W85" i="1"/>
  <c r="W78" i="1"/>
  <c r="W72" i="1"/>
  <c r="W73" i="1"/>
  <c r="W74" i="1"/>
  <c r="W75" i="1"/>
  <c r="W76" i="1"/>
  <c r="W71" i="1"/>
  <c r="W65" i="1"/>
  <c r="W66" i="1"/>
  <c r="W67" i="1"/>
  <c r="W68" i="1"/>
  <c r="W69" i="1"/>
  <c r="W64" i="1"/>
  <c r="W58" i="1"/>
  <c r="W59" i="1"/>
  <c r="W60" i="1"/>
  <c r="W61" i="1"/>
  <c r="W62" i="1"/>
  <c r="W57" i="1"/>
  <c r="W50" i="1"/>
  <c r="W51" i="1"/>
  <c r="W52" i="1"/>
  <c r="W53" i="1"/>
  <c r="W54" i="1"/>
  <c r="W55" i="1"/>
  <c r="W49" i="1"/>
  <c r="W42" i="1"/>
  <c r="W43" i="1"/>
  <c r="W44" i="1"/>
  <c r="W45" i="1"/>
  <c r="W46" i="1"/>
  <c r="W47" i="1"/>
  <c r="W41" i="1"/>
  <c r="W34" i="1"/>
  <c r="W35" i="1"/>
  <c r="W36" i="1"/>
  <c r="W37" i="1"/>
  <c r="W38" i="1"/>
  <c r="W39" i="1"/>
  <c r="W33" i="1"/>
  <c r="W27" i="1"/>
  <c r="W28" i="1"/>
  <c r="W29" i="1"/>
  <c r="W30" i="1"/>
  <c r="W31" i="1"/>
  <c r="W26" i="1"/>
  <c r="W19" i="1"/>
  <c r="W20" i="1"/>
  <c r="W21" i="1"/>
  <c r="W22" i="1"/>
  <c r="W23" i="1"/>
  <c r="W24" i="1"/>
  <c r="W18" i="1"/>
  <c r="W11" i="1"/>
  <c r="W12" i="1"/>
  <c r="W13" i="1"/>
  <c r="W14" i="1"/>
  <c r="W15" i="1"/>
  <c r="W16" i="1"/>
  <c r="W10" i="1"/>
  <c r="W3" i="1"/>
  <c r="W4" i="1"/>
  <c r="W5" i="1"/>
  <c r="W6" i="1"/>
  <c r="W7" i="1"/>
  <c r="W8" i="1"/>
  <c r="W2" i="1"/>
  <c r="BH5" i="4"/>
  <c r="BG5" i="4"/>
  <c r="BF5" i="4"/>
  <c r="AX5" i="4"/>
  <c r="AW5" i="4"/>
  <c r="AR5" i="4"/>
  <c r="AQ5" i="4"/>
  <c r="BH4" i="4"/>
  <c r="BG4" i="4"/>
  <c r="BF4" i="4"/>
  <c r="AX4" i="4"/>
  <c r="AW4" i="4"/>
  <c r="AR4" i="4"/>
  <c r="AQ4" i="4"/>
  <c r="BH3" i="4"/>
  <c r="BG3" i="4"/>
  <c r="BF3" i="4"/>
  <c r="AX3" i="4"/>
  <c r="AW3" i="4"/>
  <c r="AR3" i="4"/>
  <c r="AQ3" i="4"/>
  <c r="BJ3" i="4"/>
  <c r="BJ4" i="4" s="1"/>
  <c r="BH2" i="4"/>
  <c r="BG2" i="4"/>
  <c r="BF2" i="4"/>
  <c r="AX2" i="4"/>
  <c r="AW2" i="4"/>
  <c r="AR2" i="4"/>
  <c r="AQ2" i="4"/>
  <c r="Y181" i="1"/>
  <c r="U181" i="1"/>
  <c r="T181" i="1"/>
  <c r="S181" i="1"/>
  <c r="R181" i="1"/>
  <c r="Q181" i="1"/>
  <c r="N181" i="1"/>
  <c r="M181" i="1"/>
  <c r="L181" i="1"/>
  <c r="K181" i="1"/>
  <c r="X181" i="1" s="1"/>
  <c r="H181" i="1"/>
  <c r="Z181" i="1" s="1"/>
  <c r="G181" i="1"/>
  <c r="F181" i="1"/>
  <c r="E181" i="1"/>
  <c r="Z180" i="1"/>
  <c r="Y180" i="1"/>
  <c r="X180" i="1"/>
  <c r="P180" i="1"/>
  <c r="O180" i="1"/>
  <c r="J180" i="1"/>
  <c r="I180" i="1"/>
  <c r="V180" i="1" s="1"/>
  <c r="AA179" i="1"/>
  <c r="Z179" i="1"/>
  <c r="Y179" i="1"/>
  <c r="X179" i="1"/>
  <c r="P179" i="1"/>
  <c r="O179" i="1"/>
  <c r="J179" i="1"/>
  <c r="I179" i="1"/>
  <c r="V179" i="1" s="1"/>
  <c r="AB178" i="1"/>
  <c r="AB179" i="1" s="1"/>
  <c r="AB180" i="1" s="1"/>
  <c r="AB181" i="1" s="1"/>
  <c r="AB182" i="1" s="1"/>
  <c r="AA178" i="1"/>
  <c r="Z178" i="1"/>
  <c r="Y178" i="1"/>
  <c r="X178" i="1"/>
  <c r="P178" i="1"/>
  <c r="O178" i="1"/>
  <c r="J178" i="1"/>
  <c r="I178" i="1"/>
  <c r="V178" i="1" s="1"/>
  <c r="B178" i="1"/>
  <c r="B179" i="1" s="1"/>
  <c r="AB177" i="1"/>
  <c r="Z177" i="1"/>
  <c r="Y177" i="1"/>
  <c r="X177" i="1"/>
  <c r="P177" i="1"/>
  <c r="O177" i="1"/>
  <c r="AA177" i="1" s="1"/>
  <c r="J177" i="1"/>
  <c r="I177" i="1"/>
  <c r="V177" i="1" s="1"/>
  <c r="C177" i="1"/>
  <c r="C178" i="1" s="1"/>
  <c r="C179" i="1" s="1"/>
  <c r="B177" i="1"/>
  <c r="Z176" i="1"/>
  <c r="Y176" i="1"/>
  <c r="X176" i="1"/>
  <c r="P176" i="1"/>
  <c r="P181" i="1" s="1"/>
  <c r="O176" i="1"/>
  <c r="AA176" i="1" s="1"/>
  <c r="J176" i="1"/>
  <c r="I176" i="1"/>
  <c r="V176" i="1" s="1"/>
  <c r="A176" i="1"/>
  <c r="A177" i="1" s="1"/>
  <c r="A178" i="1" s="1"/>
  <c r="A179" i="1" s="1"/>
  <c r="Y174" i="1"/>
  <c r="U174" i="1"/>
  <c r="T174" i="1"/>
  <c r="S174" i="1"/>
  <c r="R174" i="1"/>
  <c r="Q174" i="1"/>
  <c r="N174" i="1"/>
  <c r="M174" i="1"/>
  <c r="L174" i="1"/>
  <c r="K174" i="1"/>
  <c r="X174" i="1" s="1"/>
  <c r="H174" i="1"/>
  <c r="Z174" i="1" s="1"/>
  <c r="G174" i="1"/>
  <c r="F174" i="1"/>
  <c r="E174" i="1"/>
  <c r="AA173" i="1"/>
  <c r="Z173" i="1"/>
  <c r="Y173" i="1"/>
  <c r="X173" i="1"/>
  <c r="P173" i="1"/>
  <c r="O173" i="1"/>
  <c r="J173" i="1"/>
  <c r="I173" i="1"/>
  <c r="V173" i="1" s="1"/>
  <c r="AA172" i="1"/>
  <c r="Z172" i="1"/>
  <c r="Y172" i="1"/>
  <c r="X172" i="1"/>
  <c r="P172" i="1"/>
  <c r="O172" i="1"/>
  <c r="J172" i="1"/>
  <c r="I172" i="1"/>
  <c r="V172" i="1" s="1"/>
  <c r="C172" i="1"/>
  <c r="C173" i="1" s="1"/>
  <c r="Z171" i="1"/>
  <c r="Y171" i="1"/>
  <c r="X171" i="1"/>
  <c r="P171" i="1"/>
  <c r="O171" i="1"/>
  <c r="J171" i="1"/>
  <c r="I171" i="1"/>
  <c r="V171" i="1" s="1"/>
  <c r="C171" i="1"/>
  <c r="C174" i="1" s="1"/>
  <c r="C175" i="1" s="1"/>
  <c r="Z170" i="1"/>
  <c r="Y170" i="1"/>
  <c r="X170" i="1"/>
  <c r="P170" i="1"/>
  <c r="O170" i="1"/>
  <c r="AA170" i="1" s="1"/>
  <c r="J170" i="1"/>
  <c r="I170" i="1"/>
  <c r="V170" i="1" s="1"/>
  <c r="C170" i="1"/>
  <c r="AB169" i="1"/>
  <c r="AB170" i="1" s="1"/>
  <c r="AB171" i="1" s="1"/>
  <c r="AB172" i="1" s="1"/>
  <c r="Z169" i="1"/>
  <c r="Y169" i="1"/>
  <c r="X169" i="1"/>
  <c r="V169" i="1"/>
  <c r="P169" i="1"/>
  <c r="O169" i="1"/>
  <c r="AA169" i="1" s="1"/>
  <c r="J169" i="1"/>
  <c r="I169" i="1"/>
  <c r="C169" i="1"/>
  <c r="B169" i="1"/>
  <c r="B170" i="1" s="1"/>
  <c r="AA168" i="1"/>
  <c r="Z168" i="1"/>
  <c r="Y168" i="1"/>
  <c r="X168" i="1"/>
  <c r="V168" i="1"/>
  <c r="P168" i="1"/>
  <c r="P174" i="1" s="1"/>
  <c r="O168" i="1"/>
  <c r="J168" i="1"/>
  <c r="I168" i="1"/>
  <c r="A168" i="1"/>
  <c r="A169" i="1" s="1"/>
  <c r="A170" i="1" s="1"/>
  <c r="Y166" i="1"/>
  <c r="U166" i="1"/>
  <c r="T166" i="1"/>
  <c r="S166" i="1"/>
  <c r="R166" i="1"/>
  <c r="Q166" i="1"/>
  <c r="N166" i="1"/>
  <c r="M166" i="1"/>
  <c r="L166" i="1"/>
  <c r="K166" i="1"/>
  <c r="X166" i="1" s="1"/>
  <c r="H166" i="1"/>
  <c r="Z166" i="1" s="1"/>
  <c r="G166" i="1"/>
  <c r="F166" i="1"/>
  <c r="E166" i="1"/>
  <c r="Z165" i="1"/>
  <c r="Y165" i="1"/>
  <c r="X165" i="1"/>
  <c r="P165" i="1"/>
  <c r="O165" i="1"/>
  <c r="J165" i="1"/>
  <c r="I165" i="1"/>
  <c r="V165" i="1" s="1"/>
  <c r="AA164" i="1"/>
  <c r="Z164" i="1"/>
  <c r="Y164" i="1"/>
  <c r="X164" i="1"/>
  <c r="P164" i="1"/>
  <c r="O164" i="1"/>
  <c r="J164" i="1"/>
  <c r="I164" i="1"/>
  <c r="V164" i="1" s="1"/>
  <c r="AB163" i="1"/>
  <c r="AB164" i="1" s="1"/>
  <c r="AB165" i="1" s="1"/>
  <c r="AB166" i="1" s="1"/>
  <c r="AB167" i="1" s="1"/>
  <c r="AA163" i="1"/>
  <c r="Z163" i="1"/>
  <c r="Y163" i="1"/>
  <c r="X163" i="1"/>
  <c r="V163" i="1"/>
  <c r="P163" i="1"/>
  <c r="O163" i="1"/>
  <c r="J163" i="1"/>
  <c r="I163" i="1"/>
  <c r="C163" i="1"/>
  <c r="C165" i="1" s="1"/>
  <c r="B163" i="1"/>
  <c r="B165" i="1" s="1"/>
  <c r="AB162" i="1"/>
  <c r="Z162" i="1"/>
  <c r="Y162" i="1"/>
  <c r="X162" i="1"/>
  <c r="P162" i="1"/>
  <c r="O162" i="1"/>
  <c r="AA162" i="1" s="1"/>
  <c r="J162" i="1"/>
  <c r="I162" i="1"/>
  <c r="I166" i="1" s="1"/>
  <c r="C162" i="1"/>
  <c r="B162" i="1"/>
  <c r="Z161" i="1"/>
  <c r="Y161" i="1"/>
  <c r="X161" i="1"/>
  <c r="P161" i="1"/>
  <c r="P166" i="1" s="1"/>
  <c r="O161" i="1"/>
  <c r="AA161" i="1" s="1"/>
  <c r="J161" i="1"/>
  <c r="I161" i="1"/>
  <c r="V161" i="1" s="1"/>
  <c r="A161" i="1"/>
  <c r="A162" i="1" s="1"/>
  <c r="A163" i="1" s="1"/>
  <c r="Y159" i="1"/>
  <c r="U159" i="1"/>
  <c r="T159" i="1"/>
  <c r="S159" i="1"/>
  <c r="R159" i="1"/>
  <c r="Q159" i="1"/>
  <c r="N159" i="1"/>
  <c r="M159" i="1"/>
  <c r="L159" i="1"/>
  <c r="K159" i="1"/>
  <c r="H159" i="1"/>
  <c r="Z159" i="1" s="1"/>
  <c r="G159" i="1"/>
  <c r="F159" i="1"/>
  <c r="E159" i="1"/>
  <c r="AA158" i="1"/>
  <c r="Z158" i="1"/>
  <c r="Y158" i="1"/>
  <c r="X158" i="1"/>
  <c r="P158" i="1"/>
  <c r="O158" i="1"/>
  <c r="J158" i="1"/>
  <c r="I158" i="1"/>
  <c r="V158" i="1" s="1"/>
  <c r="AA157" i="1"/>
  <c r="Z157" i="1"/>
  <c r="Y157" i="1"/>
  <c r="X157" i="1"/>
  <c r="P157" i="1"/>
  <c r="O157" i="1"/>
  <c r="J157" i="1"/>
  <c r="I157" i="1"/>
  <c r="V157" i="1" s="1"/>
  <c r="AA156" i="1"/>
  <c r="Z156" i="1"/>
  <c r="Y156" i="1"/>
  <c r="X156" i="1"/>
  <c r="P156" i="1"/>
  <c r="O156" i="1"/>
  <c r="J156" i="1"/>
  <c r="I156" i="1"/>
  <c r="V156" i="1" s="1"/>
  <c r="Z155" i="1"/>
  <c r="Y155" i="1"/>
  <c r="X155" i="1"/>
  <c r="P155" i="1"/>
  <c r="O155" i="1"/>
  <c r="AA155" i="1" s="1"/>
  <c r="J155" i="1"/>
  <c r="I155" i="1"/>
  <c r="I159" i="1" s="1"/>
  <c r="C155" i="1"/>
  <c r="C156" i="1" s="1"/>
  <c r="C159" i="1" s="1"/>
  <c r="C160" i="1" s="1"/>
  <c r="AB154" i="1"/>
  <c r="AB155" i="1" s="1"/>
  <c r="AB156" i="1" s="1"/>
  <c r="AB157" i="1" s="1"/>
  <c r="Z154" i="1"/>
  <c r="Y154" i="1"/>
  <c r="X154" i="1"/>
  <c r="P154" i="1"/>
  <c r="O154" i="1"/>
  <c r="AA154" i="1" s="1"/>
  <c r="J154" i="1"/>
  <c r="I154" i="1"/>
  <c r="C154" i="1"/>
  <c r="B154" i="1"/>
  <c r="B155" i="1" s="1"/>
  <c r="Z153" i="1"/>
  <c r="Y153" i="1"/>
  <c r="X153" i="1"/>
  <c r="V153" i="1"/>
  <c r="P153" i="1"/>
  <c r="P159" i="1" s="1"/>
  <c r="O153" i="1"/>
  <c r="O159" i="1" s="1"/>
  <c r="J153" i="1"/>
  <c r="I153" i="1"/>
  <c r="A153" i="1"/>
  <c r="A154" i="1" s="1"/>
  <c r="A155" i="1" s="1"/>
  <c r="U151" i="1"/>
  <c r="T151" i="1"/>
  <c r="S151" i="1"/>
  <c r="R151" i="1"/>
  <c r="Q151" i="1"/>
  <c r="N151" i="1"/>
  <c r="M151" i="1"/>
  <c r="L151" i="1"/>
  <c r="K151" i="1"/>
  <c r="X151" i="1" s="1"/>
  <c r="J151" i="1"/>
  <c r="H151" i="1"/>
  <c r="G151" i="1"/>
  <c r="Z151" i="1" s="1"/>
  <c r="F151" i="1"/>
  <c r="E151" i="1"/>
  <c r="Y151" i="1" s="1"/>
  <c r="AA150" i="1"/>
  <c r="Z150" i="1"/>
  <c r="Y150" i="1"/>
  <c r="X150" i="1"/>
  <c r="P150" i="1"/>
  <c r="O150" i="1"/>
  <c r="J150" i="1"/>
  <c r="I150" i="1"/>
  <c r="V150" i="1" s="1"/>
  <c r="AA149" i="1"/>
  <c r="Z149" i="1"/>
  <c r="Y149" i="1"/>
  <c r="X149" i="1"/>
  <c r="V149" i="1"/>
  <c r="P149" i="1"/>
  <c r="O149" i="1"/>
  <c r="J149" i="1"/>
  <c r="I149" i="1"/>
  <c r="AA148" i="1"/>
  <c r="Z148" i="1"/>
  <c r="Y148" i="1"/>
  <c r="X148" i="1"/>
  <c r="P148" i="1"/>
  <c r="O148" i="1"/>
  <c r="J148" i="1"/>
  <c r="I148" i="1"/>
  <c r="V148" i="1" s="1"/>
  <c r="C148" i="1"/>
  <c r="C151" i="1" s="1"/>
  <c r="C152" i="1" s="1"/>
  <c r="Z147" i="1"/>
  <c r="Y147" i="1"/>
  <c r="X147" i="1"/>
  <c r="P147" i="1"/>
  <c r="O147" i="1"/>
  <c r="AA147" i="1" s="1"/>
  <c r="J147" i="1"/>
  <c r="I147" i="1"/>
  <c r="I151" i="1" s="1"/>
  <c r="V151" i="1" s="1"/>
  <c r="C147" i="1"/>
  <c r="C149" i="1" s="1"/>
  <c r="C150" i="1" s="1"/>
  <c r="AB146" i="1"/>
  <c r="AB147" i="1" s="1"/>
  <c r="AB148" i="1" s="1"/>
  <c r="AB149" i="1" s="1"/>
  <c r="Z146" i="1"/>
  <c r="Y146" i="1"/>
  <c r="X146" i="1"/>
  <c r="P146" i="1"/>
  <c r="O146" i="1"/>
  <c r="AA146" i="1" s="1"/>
  <c r="J146" i="1"/>
  <c r="I146" i="1"/>
  <c r="C146" i="1"/>
  <c r="B146" i="1"/>
  <c r="B147" i="1" s="1"/>
  <c r="Z145" i="1"/>
  <c r="Y145" i="1"/>
  <c r="X145" i="1"/>
  <c r="V145" i="1"/>
  <c r="P145" i="1"/>
  <c r="P151" i="1" s="1"/>
  <c r="O145" i="1"/>
  <c r="O151" i="1" s="1"/>
  <c r="J145" i="1"/>
  <c r="I145" i="1"/>
  <c r="A145" i="1"/>
  <c r="A146" i="1" s="1"/>
  <c r="A147" i="1" s="1"/>
  <c r="Y143" i="1"/>
  <c r="U143" i="1"/>
  <c r="T143" i="1"/>
  <c r="S143" i="1"/>
  <c r="R143" i="1"/>
  <c r="Q143" i="1"/>
  <c r="N143" i="1"/>
  <c r="M143" i="1"/>
  <c r="L143" i="1"/>
  <c r="K143" i="1"/>
  <c r="X143" i="1" s="1"/>
  <c r="J143" i="1"/>
  <c r="H143" i="1"/>
  <c r="Z143" i="1" s="1"/>
  <c r="G143" i="1"/>
  <c r="F143" i="1"/>
  <c r="E143" i="1"/>
  <c r="AA142" i="1"/>
  <c r="Z142" i="1"/>
  <c r="Y142" i="1"/>
  <c r="X142" i="1"/>
  <c r="P142" i="1"/>
  <c r="O142" i="1"/>
  <c r="J142" i="1"/>
  <c r="I142" i="1"/>
  <c r="V142" i="1" s="1"/>
  <c r="AA141" i="1"/>
  <c r="Z141" i="1"/>
  <c r="Y141" i="1"/>
  <c r="X141" i="1"/>
  <c r="P141" i="1"/>
  <c r="O141" i="1"/>
  <c r="J141" i="1"/>
  <c r="I141" i="1"/>
  <c r="V141" i="1" s="1"/>
  <c r="AA140" i="1"/>
  <c r="Z140" i="1"/>
  <c r="Y140" i="1"/>
  <c r="X140" i="1"/>
  <c r="P140" i="1"/>
  <c r="O140" i="1"/>
  <c r="J140" i="1"/>
  <c r="I140" i="1"/>
  <c r="V140" i="1" s="1"/>
  <c r="C140" i="1"/>
  <c r="C143" i="1" s="1"/>
  <c r="C144" i="1" s="1"/>
  <c r="Z139" i="1"/>
  <c r="Y139" i="1"/>
  <c r="X139" i="1"/>
  <c r="P139" i="1"/>
  <c r="O139" i="1"/>
  <c r="AA139" i="1" s="1"/>
  <c r="J139" i="1"/>
  <c r="I139" i="1"/>
  <c r="V139" i="1" s="1"/>
  <c r="C139" i="1"/>
  <c r="C141" i="1" s="1"/>
  <c r="C142" i="1" s="1"/>
  <c r="AB138" i="1"/>
  <c r="AB139" i="1" s="1"/>
  <c r="AB140" i="1" s="1"/>
  <c r="AB141" i="1" s="1"/>
  <c r="Z138" i="1"/>
  <c r="Y138" i="1"/>
  <c r="X138" i="1"/>
  <c r="P138" i="1"/>
  <c r="O138" i="1"/>
  <c r="AA138" i="1" s="1"/>
  <c r="J138" i="1"/>
  <c r="I138" i="1"/>
  <c r="C138" i="1"/>
  <c r="B138" i="1"/>
  <c r="B139" i="1" s="1"/>
  <c r="Z137" i="1"/>
  <c r="Y137" i="1"/>
  <c r="X137" i="1"/>
  <c r="V137" i="1"/>
  <c r="P137" i="1"/>
  <c r="P143" i="1" s="1"/>
  <c r="O137" i="1"/>
  <c r="O143" i="1" s="1"/>
  <c r="J137" i="1"/>
  <c r="I137" i="1"/>
  <c r="A137" i="1"/>
  <c r="A138" i="1" s="1"/>
  <c r="A139" i="1" s="1"/>
  <c r="Y135" i="1"/>
  <c r="U135" i="1"/>
  <c r="T135" i="1"/>
  <c r="S135" i="1"/>
  <c r="R135" i="1"/>
  <c r="Q135" i="1"/>
  <c r="N135" i="1"/>
  <c r="M135" i="1"/>
  <c r="L135" i="1"/>
  <c r="K135" i="1"/>
  <c r="X135" i="1" s="1"/>
  <c r="H135" i="1"/>
  <c r="Z135" i="1" s="1"/>
  <c r="G135" i="1"/>
  <c r="F135" i="1"/>
  <c r="E135" i="1"/>
  <c r="AA134" i="1"/>
  <c r="Z134" i="1"/>
  <c r="Y134" i="1"/>
  <c r="X134" i="1"/>
  <c r="P134" i="1"/>
  <c r="O134" i="1"/>
  <c r="J134" i="1"/>
  <c r="I134" i="1"/>
  <c r="V134" i="1" s="1"/>
  <c r="AA133" i="1"/>
  <c r="Z133" i="1"/>
  <c r="Y133" i="1"/>
  <c r="X133" i="1"/>
  <c r="P133" i="1"/>
  <c r="O133" i="1"/>
  <c r="J133" i="1"/>
  <c r="I133" i="1"/>
  <c r="V133" i="1" s="1"/>
  <c r="Z132" i="1"/>
  <c r="Y132" i="1"/>
  <c r="X132" i="1"/>
  <c r="P132" i="1"/>
  <c r="O132" i="1"/>
  <c r="J132" i="1"/>
  <c r="I132" i="1"/>
  <c r="V132" i="1" s="1"/>
  <c r="Z131" i="1"/>
  <c r="Y131" i="1"/>
  <c r="X131" i="1"/>
  <c r="P131" i="1"/>
  <c r="O131" i="1"/>
  <c r="AA131" i="1" s="1"/>
  <c r="J131" i="1"/>
  <c r="I131" i="1"/>
  <c r="V131" i="1" s="1"/>
  <c r="C131" i="1"/>
  <c r="C133" i="1" s="1"/>
  <c r="C134" i="1" s="1"/>
  <c r="AB130" i="1"/>
  <c r="AB131" i="1" s="1"/>
  <c r="AB132" i="1" s="1"/>
  <c r="AB133" i="1" s="1"/>
  <c r="Z130" i="1"/>
  <c r="Y130" i="1"/>
  <c r="X130" i="1"/>
  <c r="V130" i="1"/>
  <c r="P130" i="1"/>
  <c r="O130" i="1"/>
  <c r="AA130" i="1" s="1"/>
  <c r="J130" i="1"/>
  <c r="I130" i="1"/>
  <c r="C130" i="1"/>
  <c r="B130" i="1"/>
  <c r="B131" i="1" s="1"/>
  <c r="A130" i="1"/>
  <c r="A131" i="1" s="1"/>
  <c r="Z129" i="1"/>
  <c r="Y129" i="1"/>
  <c r="X129" i="1"/>
  <c r="V129" i="1"/>
  <c r="P129" i="1"/>
  <c r="P135" i="1" s="1"/>
  <c r="O129" i="1"/>
  <c r="O135" i="1" s="1"/>
  <c r="J129" i="1"/>
  <c r="I129" i="1"/>
  <c r="A129" i="1"/>
  <c r="Y127" i="1"/>
  <c r="U127" i="1"/>
  <c r="T127" i="1"/>
  <c r="S127" i="1"/>
  <c r="R127" i="1"/>
  <c r="Q127" i="1"/>
  <c r="N127" i="1"/>
  <c r="M127" i="1"/>
  <c r="L127" i="1"/>
  <c r="K127" i="1"/>
  <c r="X127" i="1" s="1"/>
  <c r="H127" i="1"/>
  <c r="G127" i="1"/>
  <c r="Z127" i="1" s="1"/>
  <c r="F127" i="1"/>
  <c r="E127" i="1"/>
  <c r="AA126" i="1"/>
  <c r="Z126" i="1"/>
  <c r="Y126" i="1"/>
  <c r="X126" i="1"/>
  <c r="P126" i="1"/>
  <c r="O126" i="1"/>
  <c r="J126" i="1"/>
  <c r="I126" i="1"/>
  <c r="V126" i="1" s="1"/>
  <c r="AA125" i="1"/>
  <c r="Z125" i="1"/>
  <c r="Y125" i="1"/>
  <c r="X125" i="1"/>
  <c r="P125" i="1"/>
  <c r="O125" i="1"/>
  <c r="J125" i="1"/>
  <c r="I125" i="1"/>
  <c r="V125" i="1" s="1"/>
  <c r="AB124" i="1"/>
  <c r="AB125" i="1" s="1"/>
  <c r="AA124" i="1"/>
  <c r="Z124" i="1"/>
  <c r="Y124" i="1"/>
  <c r="X124" i="1"/>
  <c r="P124" i="1"/>
  <c r="O124" i="1"/>
  <c r="J124" i="1"/>
  <c r="I124" i="1"/>
  <c r="V124" i="1" s="1"/>
  <c r="B124" i="1"/>
  <c r="B127" i="1" s="1"/>
  <c r="B128" i="1" s="1"/>
  <c r="AB123" i="1"/>
  <c r="Z123" i="1"/>
  <c r="Y123" i="1"/>
  <c r="X123" i="1"/>
  <c r="P123" i="1"/>
  <c r="O123" i="1"/>
  <c r="AA123" i="1" s="1"/>
  <c r="J123" i="1"/>
  <c r="I123" i="1"/>
  <c r="V123" i="1" s="1"/>
  <c r="C123" i="1"/>
  <c r="C124" i="1" s="1"/>
  <c r="B123" i="1"/>
  <c r="Z122" i="1"/>
  <c r="Y122" i="1"/>
  <c r="X122" i="1"/>
  <c r="P122" i="1"/>
  <c r="P127" i="1" s="1"/>
  <c r="O122" i="1"/>
  <c r="AA122" i="1" s="1"/>
  <c r="J122" i="1"/>
  <c r="I122" i="1"/>
  <c r="V122" i="1" s="1"/>
  <c r="A122" i="1"/>
  <c r="A123" i="1" s="1"/>
  <c r="A124" i="1" s="1"/>
  <c r="Z120" i="1"/>
  <c r="Y120" i="1"/>
  <c r="U120" i="1"/>
  <c r="T120" i="1"/>
  <c r="S120" i="1"/>
  <c r="R120" i="1"/>
  <c r="Q120" i="1"/>
  <c r="N120" i="1"/>
  <c r="M120" i="1"/>
  <c r="L120" i="1"/>
  <c r="X120" i="1" s="1"/>
  <c r="K120" i="1"/>
  <c r="H120" i="1"/>
  <c r="G120" i="1"/>
  <c r="F120" i="1"/>
  <c r="E120" i="1"/>
  <c r="AA119" i="1"/>
  <c r="Z119" i="1"/>
  <c r="Y119" i="1"/>
  <c r="X119" i="1"/>
  <c r="P119" i="1"/>
  <c r="O119" i="1"/>
  <c r="J119" i="1"/>
  <c r="I119" i="1"/>
  <c r="V119" i="1" s="1"/>
  <c r="Z118" i="1"/>
  <c r="Y118" i="1"/>
  <c r="X118" i="1"/>
  <c r="P118" i="1"/>
  <c r="O118" i="1"/>
  <c r="J118" i="1"/>
  <c r="I118" i="1"/>
  <c r="V118" i="1" s="1"/>
  <c r="C118" i="1"/>
  <c r="C119" i="1" s="1"/>
  <c r="Z117" i="1"/>
  <c r="Y117" i="1"/>
  <c r="X117" i="1"/>
  <c r="P117" i="1"/>
  <c r="O117" i="1"/>
  <c r="AA117" i="1" s="1"/>
  <c r="J117" i="1"/>
  <c r="I117" i="1"/>
  <c r="V117" i="1" s="1"/>
  <c r="C117" i="1"/>
  <c r="C120" i="1" s="1"/>
  <c r="C121" i="1" s="1"/>
  <c r="Z116" i="1"/>
  <c r="Y116" i="1"/>
  <c r="X116" i="1"/>
  <c r="V116" i="1"/>
  <c r="P116" i="1"/>
  <c r="O116" i="1"/>
  <c r="AA116" i="1" s="1"/>
  <c r="J116" i="1"/>
  <c r="I116" i="1"/>
  <c r="I120" i="1" s="1"/>
  <c r="C116" i="1"/>
  <c r="Z115" i="1"/>
  <c r="Y115" i="1"/>
  <c r="X115" i="1"/>
  <c r="V115" i="1"/>
  <c r="P115" i="1"/>
  <c r="O115" i="1"/>
  <c r="O120" i="1" s="1"/>
  <c r="J115" i="1"/>
  <c r="I115" i="1"/>
  <c r="C115" i="1"/>
  <c r="AB114" i="1"/>
  <c r="AB115" i="1" s="1"/>
  <c r="AB116" i="1" s="1"/>
  <c r="AB117" i="1" s="1"/>
  <c r="AB118" i="1" s="1"/>
  <c r="AA114" i="1"/>
  <c r="Z114" i="1"/>
  <c r="Y114" i="1"/>
  <c r="X114" i="1"/>
  <c r="V114" i="1"/>
  <c r="P114" i="1"/>
  <c r="O114" i="1"/>
  <c r="J114" i="1"/>
  <c r="I114" i="1"/>
  <c r="C114" i="1"/>
  <c r="B114" i="1"/>
  <c r="B115" i="1" s="1"/>
  <c r="B116" i="1" s="1"/>
  <c r="A114" i="1"/>
  <c r="A115" i="1" s="1"/>
  <c r="A116" i="1" s="1"/>
  <c r="AA113" i="1"/>
  <c r="Z113" i="1"/>
  <c r="Y113" i="1"/>
  <c r="X113" i="1"/>
  <c r="V113" i="1"/>
  <c r="P113" i="1"/>
  <c r="P120" i="1" s="1"/>
  <c r="O113" i="1"/>
  <c r="J113" i="1"/>
  <c r="I113" i="1"/>
  <c r="A113" i="1"/>
  <c r="AB112" i="1"/>
  <c r="Y111" i="1"/>
  <c r="U111" i="1"/>
  <c r="T111" i="1"/>
  <c r="S111" i="1"/>
  <c r="R111" i="1"/>
  <c r="Q111" i="1"/>
  <c r="N111" i="1"/>
  <c r="M111" i="1"/>
  <c r="L111" i="1"/>
  <c r="K111" i="1"/>
  <c r="X111" i="1" s="1"/>
  <c r="H111" i="1"/>
  <c r="G111" i="1"/>
  <c r="Z111" i="1" s="1"/>
  <c r="F111" i="1"/>
  <c r="E111" i="1"/>
  <c r="AA110" i="1"/>
  <c r="Z110" i="1"/>
  <c r="Y110" i="1"/>
  <c r="X110" i="1"/>
  <c r="V110" i="1"/>
  <c r="P110" i="1"/>
  <c r="O110" i="1"/>
  <c r="J110" i="1"/>
  <c r="I110" i="1"/>
  <c r="AA109" i="1"/>
  <c r="Z109" i="1"/>
  <c r="Y109" i="1"/>
  <c r="X109" i="1"/>
  <c r="P109" i="1"/>
  <c r="O109" i="1"/>
  <c r="J109" i="1"/>
  <c r="I109" i="1"/>
  <c r="V109" i="1" s="1"/>
  <c r="AA108" i="1"/>
  <c r="Z108" i="1"/>
  <c r="Y108" i="1"/>
  <c r="X108" i="1"/>
  <c r="P108" i="1"/>
  <c r="O108" i="1"/>
  <c r="J108" i="1"/>
  <c r="I108" i="1"/>
  <c r="V108" i="1" s="1"/>
  <c r="Z107" i="1"/>
  <c r="Y107" i="1"/>
  <c r="X107" i="1"/>
  <c r="P107" i="1"/>
  <c r="O107" i="1"/>
  <c r="AA107" i="1" s="1"/>
  <c r="J107" i="1"/>
  <c r="I107" i="1"/>
  <c r="V107" i="1" s="1"/>
  <c r="Z106" i="1"/>
  <c r="Y106" i="1"/>
  <c r="X106" i="1"/>
  <c r="P106" i="1"/>
  <c r="O106" i="1"/>
  <c r="AA106" i="1" s="1"/>
  <c r="J106" i="1"/>
  <c r="I106" i="1"/>
  <c r="V106" i="1" s="1"/>
  <c r="AB105" i="1"/>
  <c r="AB106" i="1" s="1"/>
  <c r="AB107" i="1" s="1"/>
  <c r="AB108" i="1" s="1"/>
  <c r="AB109" i="1" s="1"/>
  <c r="Z105" i="1"/>
  <c r="Y105" i="1"/>
  <c r="X105" i="1"/>
  <c r="V105" i="1"/>
  <c r="P105" i="1"/>
  <c r="O105" i="1"/>
  <c r="O111" i="1" s="1"/>
  <c r="J105" i="1"/>
  <c r="I105" i="1"/>
  <c r="C105" i="1"/>
  <c r="C106" i="1" s="1"/>
  <c r="C107" i="1" s="1"/>
  <c r="B105" i="1"/>
  <c r="B106" i="1" s="1"/>
  <c r="B107" i="1" s="1"/>
  <c r="AA104" i="1"/>
  <c r="Z104" i="1"/>
  <c r="Y104" i="1"/>
  <c r="X104" i="1"/>
  <c r="V104" i="1"/>
  <c r="P104" i="1"/>
  <c r="P111" i="1" s="1"/>
  <c r="O104" i="1"/>
  <c r="J104" i="1"/>
  <c r="I104" i="1"/>
  <c r="A104" i="1"/>
  <c r="A105" i="1" s="1"/>
  <c r="A106" i="1" s="1"/>
  <c r="A107" i="1" s="1"/>
  <c r="Y102" i="1"/>
  <c r="U102" i="1"/>
  <c r="T102" i="1"/>
  <c r="S102" i="1"/>
  <c r="R102" i="1"/>
  <c r="Q102" i="1"/>
  <c r="N102" i="1"/>
  <c r="M102" i="1"/>
  <c r="L102" i="1"/>
  <c r="K102" i="1"/>
  <c r="X102" i="1" s="1"/>
  <c r="H102" i="1"/>
  <c r="Z102" i="1" s="1"/>
  <c r="G102" i="1"/>
  <c r="F102" i="1"/>
  <c r="E102" i="1"/>
  <c r="Z101" i="1"/>
  <c r="Y101" i="1"/>
  <c r="X101" i="1"/>
  <c r="P101" i="1"/>
  <c r="O101" i="1"/>
  <c r="J101" i="1"/>
  <c r="I101" i="1"/>
  <c r="V101" i="1" s="1"/>
  <c r="AA100" i="1"/>
  <c r="Z100" i="1"/>
  <c r="Y100" i="1"/>
  <c r="X100" i="1"/>
  <c r="P100" i="1"/>
  <c r="O100" i="1"/>
  <c r="J100" i="1"/>
  <c r="I100" i="1"/>
  <c r="V100" i="1" s="1"/>
  <c r="AA99" i="1"/>
  <c r="Z99" i="1"/>
  <c r="Y99" i="1"/>
  <c r="X99" i="1"/>
  <c r="V99" i="1"/>
  <c r="P99" i="1"/>
  <c r="O99" i="1"/>
  <c r="J99" i="1"/>
  <c r="I99" i="1"/>
  <c r="Z98" i="1"/>
  <c r="Y98" i="1"/>
  <c r="X98" i="1"/>
  <c r="P98" i="1"/>
  <c r="O98" i="1"/>
  <c r="AA98" i="1" s="1"/>
  <c r="J98" i="1"/>
  <c r="I98" i="1"/>
  <c r="I102" i="1" s="1"/>
  <c r="C98" i="1"/>
  <c r="C99" i="1" s="1"/>
  <c r="AB97" i="1"/>
  <c r="AB98" i="1" s="1"/>
  <c r="AB99" i="1" s="1"/>
  <c r="AB100" i="1" s="1"/>
  <c r="AB101" i="1" s="1"/>
  <c r="AB102" i="1" s="1"/>
  <c r="AB103" i="1" s="1"/>
  <c r="Z97" i="1"/>
  <c r="Y97" i="1"/>
  <c r="X97" i="1"/>
  <c r="P97" i="1"/>
  <c r="O97" i="1"/>
  <c r="AA97" i="1" s="1"/>
  <c r="J97" i="1"/>
  <c r="I97" i="1"/>
  <c r="C97" i="1"/>
  <c r="B97" i="1"/>
  <c r="B98" i="1" s="1"/>
  <c r="B99" i="1" s="1"/>
  <c r="Z96" i="1"/>
  <c r="Y96" i="1"/>
  <c r="X96" i="1"/>
  <c r="V96" i="1"/>
  <c r="P96" i="1"/>
  <c r="P102" i="1" s="1"/>
  <c r="O96" i="1"/>
  <c r="O102" i="1" s="1"/>
  <c r="J96" i="1"/>
  <c r="I96" i="1"/>
  <c r="A96" i="1"/>
  <c r="A97" i="1" s="1"/>
  <c r="A98" i="1" s="1"/>
  <c r="A99" i="1" s="1"/>
  <c r="A78" i="1"/>
  <c r="I78" i="1"/>
  <c r="J78" i="1"/>
  <c r="O78" i="1"/>
  <c r="P78" i="1"/>
  <c r="V78" i="1"/>
  <c r="X78" i="1"/>
  <c r="Y78" i="1"/>
  <c r="Z78" i="1"/>
  <c r="AA78" i="1"/>
  <c r="AA85" i="1" s="1"/>
  <c r="A79" i="1"/>
  <c r="B79" i="1"/>
  <c r="C79" i="1"/>
  <c r="C80" i="1" s="1"/>
  <c r="C81" i="1" s="1"/>
  <c r="I79" i="1"/>
  <c r="J79" i="1"/>
  <c r="O79" i="1"/>
  <c r="P79" i="1"/>
  <c r="V79" i="1"/>
  <c r="X79" i="1"/>
  <c r="Y79" i="1"/>
  <c r="Z79" i="1"/>
  <c r="AA79" i="1"/>
  <c r="AB79" i="1"/>
  <c r="A80" i="1"/>
  <c r="B80" i="1"/>
  <c r="I80" i="1"/>
  <c r="J80" i="1"/>
  <c r="O80" i="1"/>
  <c r="P80" i="1"/>
  <c r="V80" i="1"/>
  <c r="X80" i="1"/>
  <c r="Y80" i="1"/>
  <c r="Z80" i="1"/>
  <c r="AA80" i="1"/>
  <c r="AB80" i="1"/>
  <c r="A81" i="1"/>
  <c r="B81" i="1"/>
  <c r="I81" i="1"/>
  <c r="J81" i="1"/>
  <c r="O81" i="1"/>
  <c r="P81" i="1"/>
  <c r="V81" i="1"/>
  <c r="X81" i="1"/>
  <c r="Y81" i="1"/>
  <c r="Z81" i="1"/>
  <c r="AA81" i="1"/>
  <c r="AB81" i="1"/>
  <c r="A82" i="1"/>
  <c r="B82" i="1"/>
  <c r="B85" i="1" s="1"/>
  <c r="B86" i="1" s="1"/>
  <c r="I82" i="1"/>
  <c r="J82" i="1"/>
  <c r="O82" i="1"/>
  <c r="P82" i="1"/>
  <c r="V82" i="1"/>
  <c r="X82" i="1"/>
  <c r="Y82" i="1"/>
  <c r="Z82" i="1"/>
  <c r="AA82" i="1"/>
  <c r="AB82" i="1"/>
  <c r="A83" i="1"/>
  <c r="B83" i="1"/>
  <c r="I83" i="1"/>
  <c r="J83" i="1"/>
  <c r="O83" i="1"/>
  <c r="P83" i="1"/>
  <c r="V83" i="1"/>
  <c r="X83" i="1"/>
  <c r="Y83" i="1"/>
  <c r="Z83" i="1"/>
  <c r="AA83" i="1"/>
  <c r="AB83" i="1"/>
  <c r="AB85" i="1" s="1"/>
  <c r="AB86" i="1" s="1"/>
  <c r="A84" i="1"/>
  <c r="B84" i="1"/>
  <c r="I84" i="1"/>
  <c r="J84" i="1"/>
  <c r="O84" i="1"/>
  <c r="P84" i="1"/>
  <c r="V84" i="1"/>
  <c r="X84" i="1"/>
  <c r="Y84" i="1"/>
  <c r="Z84" i="1"/>
  <c r="AA84" i="1"/>
  <c r="AB84" i="1"/>
  <c r="A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X85" i="1"/>
  <c r="Y85" i="1"/>
  <c r="Z85" i="1"/>
  <c r="U76" i="1"/>
  <c r="T76" i="1"/>
  <c r="S76" i="1"/>
  <c r="R76" i="1"/>
  <c r="Q76" i="1"/>
  <c r="N76" i="1"/>
  <c r="M76" i="1"/>
  <c r="L76" i="1"/>
  <c r="K76" i="1"/>
  <c r="H76" i="1"/>
  <c r="G76" i="1"/>
  <c r="Z76" i="1" s="1"/>
  <c r="F76" i="1"/>
  <c r="E76" i="1"/>
  <c r="Z75" i="1"/>
  <c r="Y75" i="1"/>
  <c r="X75" i="1"/>
  <c r="P75" i="1"/>
  <c r="O75" i="1"/>
  <c r="AA75" i="1" s="1"/>
  <c r="J75" i="1"/>
  <c r="I75" i="1"/>
  <c r="Z74" i="1"/>
  <c r="Y74" i="1"/>
  <c r="X74" i="1"/>
  <c r="P74" i="1"/>
  <c r="O74" i="1"/>
  <c r="J74" i="1"/>
  <c r="I74" i="1"/>
  <c r="Z73" i="1"/>
  <c r="Y73" i="1"/>
  <c r="X73" i="1"/>
  <c r="P73" i="1"/>
  <c r="O73" i="1"/>
  <c r="AA73" i="1" s="1"/>
  <c r="J73" i="1"/>
  <c r="I73" i="1"/>
  <c r="AB72" i="1"/>
  <c r="AB73" i="1" s="1"/>
  <c r="AB74" i="1" s="1"/>
  <c r="AB75" i="1" s="1"/>
  <c r="AB76" i="1" s="1"/>
  <c r="AB77" i="1" s="1"/>
  <c r="Z72" i="1"/>
  <c r="Y72" i="1"/>
  <c r="X72" i="1"/>
  <c r="P72" i="1"/>
  <c r="O72" i="1"/>
  <c r="AA72" i="1" s="1"/>
  <c r="J72" i="1"/>
  <c r="V72" i="1" s="1"/>
  <c r="I72" i="1"/>
  <c r="C72" i="1"/>
  <c r="C73" i="1" s="1"/>
  <c r="B72" i="1"/>
  <c r="B73" i="1" s="1"/>
  <c r="Z71" i="1"/>
  <c r="Y71" i="1"/>
  <c r="X71" i="1"/>
  <c r="P71" i="1"/>
  <c r="O71" i="1"/>
  <c r="AA71" i="1" s="1"/>
  <c r="J71" i="1"/>
  <c r="I71" i="1"/>
  <c r="A71" i="1"/>
  <c r="A72" i="1" s="1"/>
  <c r="A73" i="1" s="1"/>
  <c r="J12" i="1"/>
  <c r="U69" i="1"/>
  <c r="T69" i="1"/>
  <c r="S69" i="1"/>
  <c r="R69" i="1"/>
  <c r="Q69" i="1"/>
  <c r="N69" i="1"/>
  <c r="M69" i="1"/>
  <c r="L69" i="1"/>
  <c r="K69" i="1"/>
  <c r="X69" i="1" s="1"/>
  <c r="H69" i="1"/>
  <c r="G69" i="1"/>
  <c r="F69" i="1"/>
  <c r="E69" i="1"/>
  <c r="Z68" i="1"/>
  <c r="Y68" i="1"/>
  <c r="X68" i="1"/>
  <c r="P68" i="1"/>
  <c r="O68" i="1"/>
  <c r="J68" i="1"/>
  <c r="I68" i="1"/>
  <c r="Z67" i="1"/>
  <c r="Y67" i="1"/>
  <c r="X67" i="1"/>
  <c r="P67" i="1"/>
  <c r="O67" i="1"/>
  <c r="J67" i="1"/>
  <c r="I67" i="1"/>
  <c r="Z66" i="1"/>
  <c r="Y66" i="1"/>
  <c r="X66" i="1"/>
  <c r="P66" i="1"/>
  <c r="O66" i="1"/>
  <c r="J66" i="1"/>
  <c r="I66" i="1"/>
  <c r="AB65" i="1"/>
  <c r="AB66" i="1" s="1"/>
  <c r="AB67" i="1" s="1"/>
  <c r="AB68" i="1" s="1"/>
  <c r="AB69" i="1" s="1"/>
  <c r="AB70" i="1" s="1"/>
  <c r="Z65" i="1"/>
  <c r="Y65" i="1"/>
  <c r="X65" i="1"/>
  <c r="P65" i="1"/>
  <c r="O65" i="1"/>
  <c r="J65" i="1"/>
  <c r="I65" i="1"/>
  <c r="C65" i="1"/>
  <c r="C66" i="1" s="1"/>
  <c r="B65" i="1"/>
  <c r="B66" i="1" s="1"/>
  <c r="B68" i="1" s="1"/>
  <c r="Z64" i="1"/>
  <c r="Y64" i="1"/>
  <c r="X64" i="1"/>
  <c r="P64" i="1"/>
  <c r="O64" i="1"/>
  <c r="AA64" i="1" s="1"/>
  <c r="J64" i="1"/>
  <c r="I64" i="1"/>
  <c r="A64" i="1"/>
  <c r="A65" i="1" s="1"/>
  <c r="A66" i="1" s="1"/>
  <c r="U62" i="1"/>
  <c r="T62" i="1"/>
  <c r="S62" i="1"/>
  <c r="R62" i="1"/>
  <c r="Q62" i="1"/>
  <c r="N62" i="1"/>
  <c r="M62" i="1"/>
  <c r="L62" i="1"/>
  <c r="K62" i="1"/>
  <c r="X62" i="1" s="1"/>
  <c r="H62" i="1"/>
  <c r="G62" i="1"/>
  <c r="F62" i="1"/>
  <c r="Y62" i="1" s="1"/>
  <c r="E62" i="1"/>
  <c r="Z61" i="1"/>
  <c r="Y61" i="1"/>
  <c r="X61" i="1"/>
  <c r="P61" i="1"/>
  <c r="O61" i="1"/>
  <c r="J61" i="1"/>
  <c r="I61" i="1"/>
  <c r="V61" i="1" s="1"/>
  <c r="Z60" i="1"/>
  <c r="Y60" i="1"/>
  <c r="X60" i="1"/>
  <c r="P60" i="1"/>
  <c r="O60" i="1"/>
  <c r="J60" i="1"/>
  <c r="I60" i="1"/>
  <c r="Z59" i="1"/>
  <c r="Y59" i="1"/>
  <c r="X59" i="1"/>
  <c r="P59" i="1"/>
  <c r="O59" i="1"/>
  <c r="J59" i="1"/>
  <c r="I59" i="1"/>
  <c r="AB58" i="1"/>
  <c r="AB59" i="1" s="1"/>
  <c r="AB60" i="1" s="1"/>
  <c r="AB61" i="1" s="1"/>
  <c r="AB62" i="1" s="1"/>
  <c r="AB63" i="1" s="1"/>
  <c r="Z58" i="1"/>
  <c r="Y58" i="1"/>
  <c r="X58" i="1"/>
  <c r="P58" i="1"/>
  <c r="O58" i="1"/>
  <c r="J58" i="1"/>
  <c r="I58" i="1"/>
  <c r="C58" i="1"/>
  <c r="C59" i="1" s="1"/>
  <c r="C60" i="1" s="1"/>
  <c r="C61" i="1" s="1"/>
  <c r="C62" i="1" s="1"/>
  <c r="C63" i="1" s="1"/>
  <c r="B58" i="1"/>
  <c r="B59" i="1" s="1"/>
  <c r="B60" i="1" s="1"/>
  <c r="B61" i="1" s="1"/>
  <c r="B62" i="1" s="1"/>
  <c r="B63" i="1" s="1"/>
  <c r="Z57" i="1"/>
  <c r="Y57" i="1"/>
  <c r="X57" i="1"/>
  <c r="P57" i="1"/>
  <c r="O57" i="1"/>
  <c r="J57" i="1"/>
  <c r="I57" i="1"/>
  <c r="A57" i="1"/>
  <c r="A58" i="1" s="1"/>
  <c r="A59" i="1" s="1"/>
  <c r="A60" i="1" s="1"/>
  <c r="A61" i="1" s="1"/>
  <c r="A62" i="1" s="1"/>
  <c r="U55" i="1"/>
  <c r="T55" i="1"/>
  <c r="S55" i="1"/>
  <c r="R55" i="1"/>
  <c r="Q55" i="1"/>
  <c r="N55" i="1"/>
  <c r="M55" i="1"/>
  <c r="L55" i="1"/>
  <c r="K55" i="1"/>
  <c r="H55" i="1"/>
  <c r="G55" i="1"/>
  <c r="F55" i="1"/>
  <c r="E55" i="1"/>
  <c r="Z54" i="1"/>
  <c r="Y54" i="1"/>
  <c r="X54" i="1"/>
  <c r="P54" i="1"/>
  <c r="O54" i="1"/>
  <c r="J54" i="1"/>
  <c r="I54" i="1"/>
  <c r="Z53" i="1"/>
  <c r="Y53" i="1"/>
  <c r="X53" i="1"/>
  <c r="P53" i="1"/>
  <c r="O53" i="1"/>
  <c r="J53" i="1"/>
  <c r="I53" i="1"/>
  <c r="V53" i="1" s="1"/>
  <c r="Z52" i="1"/>
  <c r="Y52" i="1"/>
  <c r="X52" i="1"/>
  <c r="P52" i="1"/>
  <c r="O52" i="1"/>
  <c r="J52" i="1"/>
  <c r="I52" i="1"/>
  <c r="Z51" i="1"/>
  <c r="Y51" i="1"/>
  <c r="X51" i="1"/>
  <c r="P51" i="1"/>
  <c r="O51" i="1"/>
  <c r="J51" i="1"/>
  <c r="I51" i="1"/>
  <c r="AB50" i="1"/>
  <c r="AB51" i="1" s="1"/>
  <c r="AB52" i="1" s="1"/>
  <c r="AB53" i="1" s="1"/>
  <c r="AB54" i="1" s="1"/>
  <c r="AB55" i="1" s="1"/>
  <c r="AB56" i="1" s="1"/>
  <c r="Z50" i="1"/>
  <c r="Y50" i="1"/>
  <c r="X50" i="1"/>
  <c r="P50" i="1"/>
  <c r="O50" i="1"/>
  <c r="J50" i="1"/>
  <c r="I50" i="1"/>
  <c r="C50" i="1"/>
  <c r="C51" i="1" s="1"/>
  <c r="C52" i="1" s="1"/>
  <c r="B50" i="1"/>
  <c r="B51" i="1" s="1"/>
  <c r="B52" i="1" s="1"/>
  <c r="Z49" i="1"/>
  <c r="Y49" i="1"/>
  <c r="X49" i="1"/>
  <c r="P49" i="1"/>
  <c r="P55" i="1" s="1"/>
  <c r="O49" i="1"/>
  <c r="J49" i="1"/>
  <c r="I49" i="1"/>
  <c r="A49" i="1"/>
  <c r="A50" i="1" s="1"/>
  <c r="A51" i="1" s="1"/>
  <c r="A52" i="1" s="1"/>
  <c r="U47" i="1"/>
  <c r="T47" i="1"/>
  <c r="S47" i="1"/>
  <c r="R47" i="1"/>
  <c r="Q47" i="1"/>
  <c r="N47" i="1"/>
  <c r="M47" i="1"/>
  <c r="L47" i="1"/>
  <c r="K47" i="1"/>
  <c r="H47" i="1"/>
  <c r="G47" i="1"/>
  <c r="F47" i="1"/>
  <c r="E47" i="1"/>
  <c r="Z46" i="1"/>
  <c r="Y46" i="1"/>
  <c r="X46" i="1"/>
  <c r="P46" i="1"/>
  <c r="O46" i="1"/>
  <c r="J46" i="1"/>
  <c r="I46" i="1"/>
  <c r="V46" i="1" s="1"/>
  <c r="Z45" i="1"/>
  <c r="Y45" i="1"/>
  <c r="X45" i="1"/>
  <c r="P45" i="1"/>
  <c r="O45" i="1"/>
  <c r="J45" i="1"/>
  <c r="I45" i="1"/>
  <c r="Z44" i="1"/>
  <c r="Y44" i="1"/>
  <c r="X44" i="1"/>
  <c r="P44" i="1"/>
  <c r="O44" i="1"/>
  <c r="J44" i="1"/>
  <c r="I44" i="1"/>
  <c r="V44" i="1" s="1"/>
  <c r="Z43" i="1"/>
  <c r="Y43" i="1"/>
  <c r="X43" i="1"/>
  <c r="P43" i="1"/>
  <c r="O43" i="1"/>
  <c r="J43" i="1"/>
  <c r="I43" i="1"/>
  <c r="AB42" i="1"/>
  <c r="AB43" i="1" s="1"/>
  <c r="AB44" i="1" s="1"/>
  <c r="AB45" i="1" s="1"/>
  <c r="Z42" i="1"/>
  <c r="Y42" i="1"/>
  <c r="X42" i="1"/>
  <c r="P42" i="1"/>
  <c r="O42" i="1"/>
  <c r="J42" i="1"/>
  <c r="I42" i="1"/>
  <c r="V42" i="1" s="1"/>
  <c r="C42" i="1"/>
  <c r="C43" i="1" s="1"/>
  <c r="C44" i="1" s="1"/>
  <c r="B42" i="1"/>
  <c r="B43" i="1" s="1"/>
  <c r="B44" i="1" s="1"/>
  <c r="A42" i="1"/>
  <c r="A43" i="1" s="1"/>
  <c r="A44" i="1" s="1"/>
  <c r="Z41" i="1"/>
  <c r="Y41" i="1"/>
  <c r="X41" i="1"/>
  <c r="P41" i="1"/>
  <c r="O41" i="1"/>
  <c r="J41" i="1"/>
  <c r="I41" i="1"/>
  <c r="A41" i="1"/>
  <c r="U39" i="1"/>
  <c r="T39" i="1"/>
  <c r="S39" i="1"/>
  <c r="R39" i="1"/>
  <c r="Q39" i="1"/>
  <c r="N39" i="1"/>
  <c r="M39" i="1"/>
  <c r="L39" i="1"/>
  <c r="K39" i="1"/>
  <c r="H39" i="1"/>
  <c r="G39" i="1"/>
  <c r="F39" i="1"/>
  <c r="E39" i="1"/>
  <c r="Z38" i="1"/>
  <c r="Y38" i="1"/>
  <c r="X38" i="1"/>
  <c r="P38" i="1"/>
  <c r="O38" i="1"/>
  <c r="J38" i="1"/>
  <c r="V38" i="1" s="1"/>
  <c r="I38" i="1"/>
  <c r="Z37" i="1"/>
  <c r="Y37" i="1"/>
  <c r="X37" i="1"/>
  <c r="P37" i="1"/>
  <c r="O37" i="1"/>
  <c r="J37" i="1"/>
  <c r="I37" i="1"/>
  <c r="V37" i="1" s="1"/>
  <c r="AA36" i="1"/>
  <c r="Z36" i="1"/>
  <c r="Y36" i="1"/>
  <c r="X36" i="1"/>
  <c r="P36" i="1"/>
  <c r="O36" i="1"/>
  <c r="J36" i="1"/>
  <c r="I36" i="1"/>
  <c r="V36" i="1" s="1"/>
  <c r="Z35" i="1"/>
  <c r="Y35" i="1"/>
  <c r="X35" i="1"/>
  <c r="P35" i="1"/>
  <c r="O35" i="1"/>
  <c r="J35" i="1"/>
  <c r="I35" i="1"/>
  <c r="AB34" i="1"/>
  <c r="AB35" i="1" s="1"/>
  <c r="AB36" i="1" s="1"/>
  <c r="AB37" i="1" s="1"/>
  <c r="AB38" i="1" s="1"/>
  <c r="AB39" i="1" s="1"/>
  <c r="AB40" i="1" s="1"/>
  <c r="Z34" i="1"/>
  <c r="Y34" i="1"/>
  <c r="X34" i="1"/>
  <c r="P34" i="1"/>
  <c r="O34" i="1"/>
  <c r="J34" i="1"/>
  <c r="I34" i="1"/>
  <c r="C34" i="1"/>
  <c r="C35" i="1" s="1"/>
  <c r="C36" i="1" s="1"/>
  <c r="B34" i="1"/>
  <c r="B35" i="1" s="1"/>
  <c r="B36" i="1" s="1"/>
  <c r="Z33" i="1"/>
  <c r="Y33" i="1"/>
  <c r="X33" i="1"/>
  <c r="P33" i="1"/>
  <c r="O33" i="1"/>
  <c r="J33" i="1"/>
  <c r="I33" i="1"/>
  <c r="A33" i="1"/>
  <c r="A34" i="1" s="1"/>
  <c r="A35" i="1" s="1"/>
  <c r="A36" i="1" s="1"/>
  <c r="U31" i="1"/>
  <c r="T31" i="1"/>
  <c r="S31" i="1"/>
  <c r="R31" i="1"/>
  <c r="Q31" i="1"/>
  <c r="N31" i="1"/>
  <c r="M31" i="1"/>
  <c r="L31" i="1"/>
  <c r="K31" i="1"/>
  <c r="X31" i="1" s="1"/>
  <c r="H31" i="1"/>
  <c r="G31" i="1"/>
  <c r="Z31" i="1" s="1"/>
  <c r="F31" i="1"/>
  <c r="E31" i="1"/>
  <c r="Z30" i="1"/>
  <c r="Y30" i="1"/>
  <c r="X30" i="1"/>
  <c r="P30" i="1"/>
  <c r="O30" i="1"/>
  <c r="J30" i="1"/>
  <c r="I30" i="1"/>
  <c r="Z29" i="1"/>
  <c r="Y29" i="1"/>
  <c r="X29" i="1"/>
  <c r="P29" i="1"/>
  <c r="O29" i="1"/>
  <c r="J29" i="1"/>
  <c r="I29" i="1"/>
  <c r="Z28" i="1"/>
  <c r="Y28" i="1"/>
  <c r="X28" i="1"/>
  <c r="P28" i="1"/>
  <c r="O28" i="1"/>
  <c r="AA28" i="1" s="1"/>
  <c r="J28" i="1"/>
  <c r="I28" i="1"/>
  <c r="V28" i="1" s="1"/>
  <c r="AB27" i="1"/>
  <c r="AB28" i="1" s="1"/>
  <c r="AB29" i="1" s="1"/>
  <c r="AB30" i="1" s="1"/>
  <c r="AB31" i="1" s="1"/>
  <c r="AB32" i="1" s="1"/>
  <c r="Z27" i="1"/>
  <c r="Y27" i="1"/>
  <c r="X27" i="1"/>
  <c r="P27" i="1"/>
  <c r="O27" i="1"/>
  <c r="AA27" i="1" s="1"/>
  <c r="J27" i="1"/>
  <c r="I27" i="1"/>
  <c r="C27" i="1"/>
  <c r="C28" i="1" s="1"/>
  <c r="C29" i="1" s="1"/>
  <c r="C30" i="1" s="1"/>
  <c r="C31" i="1" s="1"/>
  <c r="C32" i="1" s="1"/>
  <c r="B27" i="1"/>
  <c r="B28" i="1" s="1"/>
  <c r="B29" i="1" s="1"/>
  <c r="B30" i="1" s="1"/>
  <c r="B31" i="1" s="1"/>
  <c r="B32" i="1" s="1"/>
  <c r="Z26" i="1"/>
  <c r="Y26" i="1"/>
  <c r="X26" i="1"/>
  <c r="P26" i="1"/>
  <c r="O26" i="1"/>
  <c r="J26" i="1"/>
  <c r="I26" i="1"/>
  <c r="V26" i="1" s="1"/>
  <c r="A26" i="1"/>
  <c r="A27" i="1" s="1"/>
  <c r="A28" i="1" s="1"/>
  <c r="A29" i="1" s="1"/>
  <c r="A30" i="1" s="1"/>
  <c r="A31" i="1" s="1"/>
  <c r="U24" i="1"/>
  <c r="T24" i="1"/>
  <c r="S24" i="1"/>
  <c r="R24" i="1"/>
  <c r="Q24" i="1"/>
  <c r="N24" i="1"/>
  <c r="M24" i="1"/>
  <c r="L24" i="1"/>
  <c r="K24" i="1"/>
  <c r="H24" i="1"/>
  <c r="G24" i="1"/>
  <c r="F24" i="1"/>
  <c r="E24" i="1"/>
  <c r="Z23" i="1"/>
  <c r="Y23" i="1"/>
  <c r="X23" i="1"/>
  <c r="P23" i="1"/>
  <c r="O23" i="1"/>
  <c r="J23" i="1"/>
  <c r="I23" i="1"/>
  <c r="V23" i="1" s="1"/>
  <c r="Z22" i="1"/>
  <c r="Y22" i="1"/>
  <c r="X22" i="1"/>
  <c r="P22" i="1"/>
  <c r="O22" i="1"/>
  <c r="AA22" i="1" s="1"/>
  <c r="J22" i="1"/>
  <c r="I22" i="1"/>
  <c r="Z21" i="1"/>
  <c r="Y21" i="1"/>
  <c r="X21" i="1"/>
  <c r="P21" i="1"/>
  <c r="O21" i="1"/>
  <c r="J21" i="1"/>
  <c r="I21" i="1"/>
  <c r="Z20" i="1"/>
  <c r="Y20" i="1"/>
  <c r="X20" i="1"/>
  <c r="P20" i="1"/>
  <c r="O20" i="1"/>
  <c r="J20" i="1"/>
  <c r="I20" i="1"/>
  <c r="AB19" i="1"/>
  <c r="AB20" i="1" s="1"/>
  <c r="AB21" i="1" s="1"/>
  <c r="AB22" i="1" s="1"/>
  <c r="AB23" i="1" s="1"/>
  <c r="AB24" i="1" s="1"/>
  <c r="AB25" i="1" s="1"/>
  <c r="Z19" i="1"/>
  <c r="Y19" i="1"/>
  <c r="X19" i="1"/>
  <c r="P19" i="1"/>
  <c r="O19" i="1"/>
  <c r="J19" i="1"/>
  <c r="I19" i="1"/>
  <c r="C19" i="1"/>
  <c r="C20" i="1" s="1"/>
  <c r="C21" i="1" s="1"/>
  <c r="B19" i="1"/>
  <c r="B20" i="1" s="1"/>
  <c r="B21" i="1" s="1"/>
  <c r="Z18" i="1"/>
  <c r="Y18" i="1"/>
  <c r="X18" i="1"/>
  <c r="P18" i="1"/>
  <c r="O18" i="1"/>
  <c r="J18" i="1"/>
  <c r="V18" i="1" s="1"/>
  <c r="I18" i="1"/>
  <c r="A18" i="1"/>
  <c r="A19" i="1" s="1"/>
  <c r="A20" i="1" s="1"/>
  <c r="A21" i="1" s="1"/>
  <c r="U16" i="1"/>
  <c r="T16" i="1"/>
  <c r="S16" i="1"/>
  <c r="R16" i="1"/>
  <c r="Q16" i="1"/>
  <c r="N16" i="1"/>
  <c r="M16" i="1"/>
  <c r="L16" i="1"/>
  <c r="K16" i="1"/>
  <c r="H16" i="1"/>
  <c r="G16" i="1"/>
  <c r="F16" i="1"/>
  <c r="E16" i="1"/>
  <c r="Z15" i="1"/>
  <c r="Y15" i="1"/>
  <c r="X15" i="1"/>
  <c r="P15" i="1"/>
  <c r="O15" i="1"/>
  <c r="J15" i="1"/>
  <c r="I15" i="1"/>
  <c r="V15" i="1" s="1"/>
  <c r="Z14" i="1"/>
  <c r="Y14" i="1"/>
  <c r="X14" i="1"/>
  <c r="P14" i="1"/>
  <c r="O14" i="1"/>
  <c r="J14" i="1"/>
  <c r="I14" i="1"/>
  <c r="Z13" i="1"/>
  <c r="Y13" i="1"/>
  <c r="X13" i="1"/>
  <c r="P13" i="1"/>
  <c r="O13" i="1"/>
  <c r="AA13" i="1" s="1"/>
  <c r="J13" i="1"/>
  <c r="I13" i="1"/>
  <c r="Z12" i="1"/>
  <c r="Y12" i="1"/>
  <c r="X12" i="1"/>
  <c r="P12" i="1"/>
  <c r="O12" i="1"/>
  <c r="I12" i="1"/>
  <c r="V12" i="1" s="1"/>
  <c r="AB11" i="1"/>
  <c r="AB12" i="1" s="1"/>
  <c r="AB13" i="1" s="1"/>
  <c r="AB14" i="1" s="1"/>
  <c r="AB15" i="1" s="1"/>
  <c r="AB16" i="1" s="1"/>
  <c r="AB17" i="1" s="1"/>
  <c r="Z11" i="1"/>
  <c r="Y11" i="1"/>
  <c r="X11" i="1"/>
  <c r="P11" i="1"/>
  <c r="O11" i="1"/>
  <c r="J11" i="1"/>
  <c r="I11" i="1"/>
  <c r="C11" i="1"/>
  <c r="C12" i="1" s="1"/>
  <c r="C13" i="1" s="1"/>
  <c r="B11" i="1"/>
  <c r="B12" i="1" s="1"/>
  <c r="B13" i="1" s="1"/>
  <c r="Z10" i="1"/>
  <c r="Y10" i="1"/>
  <c r="X10" i="1"/>
  <c r="P10" i="1"/>
  <c r="O10" i="1"/>
  <c r="AA10" i="1" s="1"/>
  <c r="J10" i="1"/>
  <c r="I10" i="1"/>
  <c r="A10" i="1"/>
  <c r="A11" i="1" s="1"/>
  <c r="A12" i="1" s="1"/>
  <c r="A13" i="1" s="1"/>
  <c r="A2" i="1"/>
  <c r="A3" i="1" s="1"/>
  <c r="A4" i="1" s="1"/>
  <c r="A5" i="1" s="1"/>
  <c r="I2" i="1"/>
  <c r="J2" i="1"/>
  <c r="O2" i="1"/>
  <c r="AA2" i="1" s="1"/>
  <c r="P2" i="1"/>
  <c r="X2" i="1"/>
  <c r="Y2" i="1"/>
  <c r="Z2" i="1"/>
  <c r="B3" i="1"/>
  <c r="B4" i="1" s="1"/>
  <c r="B5" i="1" s="1"/>
  <c r="C3" i="1"/>
  <c r="C4" i="1" s="1"/>
  <c r="C5" i="1" s="1"/>
  <c r="I3" i="1"/>
  <c r="J3" i="1"/>
  <c r="O3" i="1"/>
  <c r="P3" i="1"/>
  <c r="X3" i="1"/>
  <c r="Y3" i="1"/>
  <c r="Z3" i="1"/>
  <c r="AB3" i="1"/>
  <c r="AB4" i="1" s="1"/>
  <c r="AB5" i="1" s="1"/>
  <c r="AB6" i="1" s="1"/>
  <c r="AB7" i="1" s="1"/>
  <c r="AB8" i="1" s="1"/>
  <c r="AB9" i="1" s="1"/>
  <c r="I4" i="1"/>
  <c r="J4" i="1"/>
  <c r="O4" i="1"/>
  <c r="AA4" i="1" s="1"/>
  <c r="P4" i="1"/>
  <c r="V4" i="1"/>
  <c r="X4" i="1"/>
  <c r="Y4" i="1"/>
  <c r="Z4" i="1"/>
  <c r="I5" i="1"/>
  <c r="V5" i="1" s="1"/>
  <c r="J5" i="1"/>
  <c r="O5" i="1"/>
  <c r="P5" i="1"/>
  <c r="X5" i="1"/>
  <c r="Y5" i="1"/>
  <c r="Z5" i="1"/>
  <c r="I6" i="1"/>
  <c r="J6" i="1"/>
  <c r="O6" i="1"/>
  <c r="P6" i="1"/>
  <c r="X6" i="1"/>
  <c r="Y6" i="1"/>
  <c r="Z6" i="1"/>
  <c r="I7" i="1"/>
  <c r="J7" i="1"/>
  <c r="O7" i="1"/>
  <c r="P7" i="1"/>
  <c r="X7" i="1"/>
  <c r="Y7" i="1"/>
  <c r="Z7" i="1"/>
  <c r="E8" i="1"/>
  <c r="F8" i="1"/>
  <c r="G8" i="1"/>
  <c r="H8" i="1"/>
  <c r="K8" i="1"/>
  <c r="X8" i="1" s="1"/>
  <c r="L8" i="1"/>
  <c r="M8" i="1"/>
  <c r="N8" i="1"/>
  <c r="Q8" i="1"/>
  <c r="R8" i="1"/>
  <c r="S8" i="1"/>
  <c r="T8" i="1"/>
  <c r="U8" i="1"/>
  <c r="Z24" i="4"/>
  <c r="Y24" i="4"/>
  <c r="X24" i="4"/>
  <c r="P24" i="4"/>
  <c r="P29" i="4" s="1"/>
  <c r="O24" i="4"/>
  <c r="W24" i="4" s="1"/>
  <c r="J24" i="4"/>
  <c r="I24" i="4"/>
  <c r="V24" i="4" s="1"/>
  <c r="A269" i="1" l="1"/>
  <c r="A268" i="1"/>
  <c r="AA269" i="1"/>
  <c r="B269" i="1"/>
  <c r="B270" i="1" s="1"/>
  <c r="B268" i="1"/>
  <c r="C269" i="1"/>
  <c r="C270" i="1" s="1"/>
  <c r="C268" i="1"/>
  <c r="I269" i="1"/>
  <c r="J269" i="1"/>
  <c r="W264" i="1"/>
  <c r="W265" i="1"/>
  <c r="O269" i="1"/>
  <c r="W269" i="1" s="1"/>
  <c r="W2" i="4"/>
  <c r="V6" i="4"/>
  <c r="Z7" i="4"/>
  <c r="W3" i="4"/>
  <c r="V5" i="4"/>
  <c r="W5" i="4"/>
  <c r="X7" i="4"/>
  <c r="V2" i="4"/>
  <c r="AA6" i="4"/>
  <c r="W6" i="4"/>
  <c r="AA5" i="4"/>
  <c r="W4" i="4"/>
  <c r="Y7" i="4"/>
  <c r="V3" i="4"/>
  <c r="J7" i="4"/>
  <c r="AA3" i="4"/>
  <c r="P7" i="4"/>
  <c r="I7" i="4"/>
  <c r="A7" i="4"/>
  <c r="A6" i="4"/>
  <c r="B7" i="4"/>
  <c r="B8" i="4" s="1"/>
  <c r="B6" i="4"/>
  <c r="AA2" i="4"/>
  <c r="AA4" i="4"/>
  <c r="C6" i="4"/>
  <c r="O7" i="4"/>
  <c r="A262" i="1"/>
  <c r="A261" i="1"/>
  <c r="AA262" i="1"/>
  <c r="B262" i="1"/>
  <c r="B263" i="1" s="1"/>
  <c r="B261" i="1"/>
  <c r="C262" i="1"/>
  <c r="C263" i="1" s="1"/>
  <c r="C261" i="1"/>
  <c r="I262" i="1"/>
  <c r="J262" i="1"/>
  <c r="W257" i="1"/>
  <c r="W258" i="1"/>
  <c r="O262" i="1"/>
  <c r="W262" i="1" s="1"/>
  <c r="A254" i="1"/>
  <c r="A253" i="1"/>
  <c r="A255" i="1" s="1"/>
  <c r="B255" i="1"/>
  <c r="B256" i="1" s="1"/>
  <c r="B254" i="1"/>
  <c r="C255" i="1"/>
  <c r="C256" i="1" s="1"/>
  <c r="C254" i="1"/>
  <c r="I255" i="1"/>
  <c r="V255" i="1" s="1"/>
  <c r="AA254" i="1"/>
  <c r="AA255" i="1" s="1"/>
  <c r="W250" i="1"/>
  <c r="W251" i="1"/>
  <c r="O255" i="1"/>
  <c r="W255" i="1" s="1"/>
  <c r="B27" i="4"/>
  <c r="B29" i="4" s="1"/>
  <c r="B30" i="4" s="1"/>
  <c r="AA248" i="1"/>
  <c r="A247" i="1"/>
  <c r="A246" i="1"/>
  <c r="A248" i="1" s="1"/>
  <c r="C246" i="1"/>
  <c r="C248" i="1" s="1"/>
  <c r="C249" i="1" s="1"/>
  <c r="C247" i="1"/>
  <c r="J248" i="1"/>
  <c r="V248" i="1" s="1"/>
  <c r="B246" i="1"/>
  <c r="B248" i="1" s="1"/>
  <c r="B249" i="1" s="1"/>
  <c r="V243" i="1"/>
  <c r="W243" i="1"/>
  <c r="W244" i="1"/>
  <c r="O248" i="1"/>
  <c r="W248" i="1" s="1"/>
  <c r="W28" i="4"/>
  <c r="X29" i="4"/>
  <c r="BE2" i="4"/>
  <c r="A241" i="1"/>
  <c r="A240" i="1"/>
  <c r="B241" i="1"/>
  <c r="B242" i="1" s="1"/>
  <c r="B240" i="1"/>
  <c r="C241" i="1"/>
  <c r="C242" i="1" s="1"/>
  <c r="C240" i="1"/>
  <c r="AA238" i="1"/>
  <c r="AA241" i="1" s="1"/>
  <c r="AA239" i="1"/>
  <c r="BE4" i="4"/>
  <c r="Y29" i="4"/>
  <c r="P234" i="1"/>
  <c r="A232" i="1"/>
  <c r="A233" i="1" s="1"/>
  <c r="A231" i="1"/>
  <c r="A234" i="1" s="1"/>
  <c r="AB234" i="1"/>
  <c r="AB235" i="1" s="1"/>
  <c r="AB233" i="1"/>
  <c r="I234" i="1"/>
  <c r="V234" i="1" s="1"/>
  <c r="B231" i="1"/>
  <c r="B234" i="1" s="1"/>
  <c r="B235" i="1" s="1"/>
  <c r="AA233" i="1"/>
  <c r="AA234" i="1" s="1"/>
  <c r="W228" i="1"/>
  <c r="W229" i="1"/>
  <c r="O234" i="1"/>
  <c r="W234" i="1" s="1"/>
  <c r="AB226" i="1"/>
  <c r="AB227" i="1" s="1"/>
  <c r="AB225" i="1"/>
  <c r="A223" i="1"/>
  <c r="A226" i="1" s="1"/>
  <c r="AA224" i="1"/>
  <c r="AA226" i="1" s="1"/>
  <c r="J226" i="1"/>
  <c r="V226" i="1" s="1"/>
  <c r="W221" i="1"/>
  <c r="V222" i="1"/>
  <c r="O226" i="1"/>
  <c r="W226" i="1" s="1"/>
  <c r="V224" i="1"/>
  <c r="BE5" i="4"/>
  <c r="O29" i="4"/>
  <c r="I29" i="4"/>
  <c r="BE3" i="4"/>
  <c r="AB219" i="1"/>
  <c r="AB220" i="1" s="1"/>
  <c r="AB218" i="1"/>
  <c r="A216" i="1"/>
  <c r="A219" i="1" s="1"/>
  <c r="A217" i="1"/>
  <c r="A218" i="1" s="1"/>
  <c r="C216" i="1"/>
  <c r="C219" i="1" s="1"/>
  <c r="C220" i="1" s="1"/>
  <c r="I219" i="1"/>
  <c r="V219" i="1" s="1"/>
  <c r="AA218" i="1"/>
  <c r="AA219" i="1" s="1"/>
  <c r="W214" i="1"/>
  <c r="W215" i="1"/>
  <c r="O219" i="1"/>
  <c r="W219" i="1" s="1"/>
  <c r="V28" i="4"/>
  <c r="V26" i="4"/>
  <c r="AA26" i="4"/>
  <c r="W27" i="4"/>
  <c r="V25" i="4"/>
  <c r="AA25" i="4"/>
  <c r="A27" i="4"/>
  <c r="A29" i="4" s="1"/>
  <c r="AA27" i="4"/>
  <c r="C27" i="4"/>
  <c r="AA28" i="4"/>
  <c r="W25" i="4"/>
  <c r="W26" i="4"/>
  <c r="C82" i="1"/>
  <c r="C85" i="1" s="1"/>
  <c r="C86" i="1" s="1"/>
  <c r="C83" i="1"/>
  <c r="C84" i="1" s="1"/>
  <c r="AB212" i="1"/>
  <c r="AB213" i="1" s="1"/>
  <c r="AB211" i="1"/>
  <c r="A210" i="1"/>
  <c r="A211" i="1" s="1"/>
  <c r="A209" i="1"/>
  <c r="A212" i="1" s="1"/>
  <c r="B210" i="1"/>
  <c r="B211" i="1" s="1"/>
  <c r="B209" i="1"/>
  <c r="B212" i="1" s="1"/>
  <c r="B213" i="1" s="1"/>
  <c r="AA209" i="1"/>
  <c r="W211" i="1"/>
  <c r="AA210" i="1"/>
  <c r="J212" i="1"/>
  <c r="W212" i="1" s="1"/>
  <c r="W206" i="1"/>
  <c r="W208" i="1"/>
  <c r="AA206" i="1"/>
  <c r="AB204" i="1"/>
  <c r="AB205" i="1" s="1"/>
  <c r="AB203" i="1"/>
  <c r="B201" i="1"/>
  <c r="B204" i="1" s="1"/>
  <c r="B205" i="1" s="1"/>
  <c r="B202" i="1"/>
  <c r="B203" i="1" s="1"/>
  <c r="A202" i="1"/>
  <c r="A203" i="1" s="1"/>
  <c r="A201" i="1"/>
  <c r="A204" i="1" s="1"/>
  <c r="C201" i="1"/>
  <c r="C204" i="1" s="1"/>
  <c r="C205" i="1" s="1"/>
  <c r="J204" i="1"/>
  <c r="V204" i="1" s="1"/>
  <c r="W198" i="1"/>
  <c r="W199" i="1"/>
  <c r="AA203" i="1"/>
  <c r="W200" i="1"/>
  <c r="AA198" i="1"/>
  <c r="AA204" i="1" s="1"/>
  <c r="AB196" i="1"/>
  <c r="AB197" i="1" s="1"/>
  <c r="AB195" i="1"/>
  <c r="B194" i="1"/>
  <c r="B195" i="1" s="1"/>
  <c r="B193" i="1"/>
  <c r="B196" i="1" s="1"/>
  <c r="B197" i="1" s="1"/>
  <c r="A194" i="1"/>
  <c r="A195" i="1" s="1"/>
  <c r="A193" i="1"/>
  <c r="A196" i="1" s="1"/>
  <c r="C193" i="1"/>
  <c r="C196" i="1" s="1"/>
  <c r="C197" i="1" s="1"/>
  <c r="J196" i="1"/>
  <c r="W196" i="1" s="1"/>
  <c r="W190" i="1"/>
  <c r="I196" i="1"/>
  <c r="V196" i="1" s="1"/>
  <c r="W191" i="1"/>
  <c r="AA195" i="1"/>
  <c r="W192" i="1"/>
  <c r="AA190" i="1"/>
  <c r="AA196" i="1" s="1"/>
  <c r="A186" i="1"/>
  <c r="A187" i="1" s="1"/>
  <c r="A185" i="1"/>
  <c r="A188" i="1" s="1"/>
  <c r="AA188" i="1"/>
  <c r="AB188" i="1"/>
  <c r="AB189" i="1" s="1"/>
  <c r="AB187" i="1"/>
  <c r="C185" i="1"/>
  <c r="C188" i="1" s="1"/>
  <c r="C189" i="1" s="1"/>
  <c r="I188" i="1"/>
  <c r="V188" i="1" s="1"/>
  <c r="W183" i="1"/>
  <c r="W184" i="1"/>
  <c r="W188" i="1"/>
  <c r="BI4" i="4"/>
  <c r="BD4" i="4"/>
  <c r="BD2" i="4"/>
  <c r="BI3" i="4"/>
  <c r="BD5" i="4"/>
  <c r="BI5" i="4"/>
  <c r="BD3" i="4"/>
  <c r="BJ5" i="4"/>
  <c r="BI2" i="4"/>
  <c r="A181" i="1"/>
  <c r="A180" i="1"/>
  <c r="B181" i="1"/>
  <c r="B182" i="1" s="1"/>
  <c r="B180" i="1"/>
  <c r="C181" i="1"/>
  <c r="C182" i="1" s="1"/>
  <c r="C180" i="1"/>
  <c r="I181" i="1"/>
  <c r="J181" i="1"/>
  <c r="AA180" i="1"/>
  <c r="AA181" i="1" s="1"/>
  <c r="O181" i="1"/>
  <c r="A172" i="1"/>
  <c r="A173" i="1" s="1"/>
  <c r="A171" i="1"/>
  <c r="A174" i="1" s="1"/>
  <c r="B172" i="1"/>
  <c r="B173" i="1" s="1"/>
  <c r="B171" i="1"/>
  <c r="B174" i="1" s="1"/>
  <c r="B175" i="1" s="1"/>
  <c r="AB174" i="1"/>
  <c r="AB175" i="1" s="1"/>
  <c r="AB173" i="1"/>
  <c r="AA171" i="1"/>
  <c r="AA174" i="1" s="1"/>
  <c r="I174" i="1"/>
  <c r="J174" i="1"/>
  <c r="O174" i="1"/>
  <c r="A164" i="1"/>
  <c r="A166" i="1" s="1"/>
  <c r="A165" i="1"/>
  <c r="J166" i="1"/>
  <c r="B164" i="1"/>
  <c r="B166" i="1" s="1"/>
  <c r="B167" i="1" s="1"/>
  <c r="C164" i="1"/>
  <c r="C166" i="1" s="1"/>
  <c r="C167" i="1" s="1"/>
  <c r="AA165" i="1"/>
  <c r="AA166" i="1" s="1"/>
  <c r="V162" i="1"/>
  <c r="O166" i="1"/>
  <c r="X159" i="1"/>
  <c r="AB159" i="1"/>
  <c r="AB160" i="1" s="1"/>
  <c r="AB158" i="1"/>
  <c r="B156" i="1"/>
  <c r="B159" i="1" s="1"/>
  <c r="B160" i="1" s="1"/>
  <c r="B157" i="1"/>
  <c r="B158" i="1" s="1"/>
  <c r="A156" i="1"/>
  <c r="A159" i="1" s="1"/>
  <c r="A157" i="1"/>
  <c r="A158" i="1" s="1"/>
  <c r="J159" i="1"/>
  <c r="V154" i="1"/>
  <c r="C157" i="1"/>
  <c r="C158" i="1" s="1"/>
  <c r="V155" i="1"/>
  <c r="AA153" i="1"/>
  <c r="AA159" i="1" s="1"/>
  <c r="A149" i="1"/>
  <c r="A150" i="1" s="1"/>
  <c r="A148" i="1"/>
  <c r="A151" i="1" s="1"/>
  <c r="AB151" i="1"/>
  <c r="AB152" i="1" s="1"/>
  <c r="AB150" i="1"/>
  <c r="B148" i="1"/>
  <c r="B151" i="1" s="1"/>
  <c r="B152" i="1" s="1"/>
  <c r="B149" i="1"/>
  <c r="B150" i="1" s="1"/>
  <c r="V146" i="1"/>
  <c r="V147" i="1"/>
  <c r="AA145" i="1"/>
  <c r="AA151" i="1" s="1"/>
  <c r="A141" i="1"/>
  <c r="A142" i="1" s="1"/>
  <c r="A140" i="1"/>
  <c r="A143" i="1" s="1"/>
  <c r="B140" i="1"/>
  <c r="B143" i="1" s="1"/>
  <c r="B144" i="1" s="1"/>
  <c r="B141" i="1"/>
  <c r="B142" i="1" s="1"/>
  <c r="AB143" i="1"/>
  <c r="AB144" i="1" s="1"/>
  <c r="AB142" i="1"/>
  <c r="I143" i="1"/>
  <c r="V143" i="1" s="1"/>
  <c r="V138" i="1"/>
  <c r="AA137" i="1"/>
  <c r="AA143" i="1" s="1"/>
  <c r="AB135" i="1"/>
  <c r="AB136" i="1" s="1"/>
  <c r="AB134" i="1"/>
  <c r="A133" i="1"/>
  <c r="A134" i="1" s="1"/>
  <c r="A132" i="1"/>
  <c r="A135" i="1" s="1"/>
  <c r="B133" i="1"/>
  <c r="B134" i="1" s="1"/>
  <c r="B132" i="1"/>
  <c r="B135" i="1" s="1"/>
  <c r="B136" i="1" s="1"/>
  <c r="AA132" i="1"/>
  <c r="I135" i="1"/>
  <c r="C132" i="1"/>
  <c r="C135" i="1" s="1"/>
  <c r="C136" i="1" s="1"/>
  <c r="J135" i="1"/>
  <c r="AA129" i="1"/>
  <c r="AA135" i="1" s="1"/>
  <c r="AB127" i="1"/>
  <c r="AB128" i="1" s="1"/>
  <c r="AB126" i="1"/>
  <c r="A127" i="1"/>
  <c r="A125" i="1"/>
  <c r="A126" i="1" s="1"/>
  <c r="C127" i="1"/>
  <c r="C128" i="1" s="1"/>
  <c r="C125" i="1"/>
  <c r="C126" i="1" s="1"/>
  <c r="AA127" i="1"/>
  <c r="I127" i="1"/>
  <c r="J127" i="1"/>
  <c r="B125" i="1"/>
  <c r="B126" i="1" s="1"/>
  <c r="O127" i="1"/>
  <c r="B118" i="1"/>
  <c r="B119" i="1" s="1"/>
  <c r="B117" i="1"/>
  <c r="B120" i="1" s="1"/>
  <c r="B121" i="1" s="1"/>
  <c r="AB120" i="1"/>
  <c r="AB121" i="1" s="1"/>
  <c r="AB119" i="1"/>
  <c r="A118" i="1"/>
  <c r="A119" i="1" s="1"/>
  <c r="A117" i="1"/>
  <c r="A120" i="1" s="1"/>
  <c r="AA118" i="1"/>
  <c r="J120" i="1"/>
  <c r="AA115" i="1"/>
  <c r="AA120" i="1" s="1"/>
  <c r="AB111" i="1"/>
  <c r="AB110" i="1"/>
  <c r="B109" i="1"/>
  <c r="B110" i="1" s="1"/>
  <c r="B108" i="1"/>
  <c r="B111" i="1" s="1"/>
  <c r="B112" i="1" s="1"/>
  <c r="A108" i="1"/>
  <c r="A111" i="1" s="1"/>
  <c r="A109" i="1"/>
  <c r="A110" i="1" s="1"/>
  <c r="C109" i="1"/>
  <c r="C110" i="1" s="1"/>
  <c r="C108" i="1"/>
  <c r="C111" i="1" s="1"/>
  <c r="C112" i="1" s="1"/>
  <c r="I111" i="1"/>
  <c r="J111" i="1"/>
  <c r="AA105" i="1"/>
  <c r="AA111" i="1" s="1"/>
  <c r="B101" i="1"/>
  <c r="B100" i="1"/>
  <c r="B102" i="1" s="1"/>
  <c r="B103" i="1" s="1"/>
  <c r="C101" i="1"/>
  <c r="C100" i="1"/>
  <c r="C102" i="1" s="1"/>
  <c r="C103" i="1" s="1"/>
  <c r="A101" i="1"/>
  <c r="A100" i="1"/>
  <c r="A102" i="1" s="1"/>
  <c r="J102" i="1"/>
  <c r="V97" i="1"/>
  <c r="AA101" i="1"/>
  <c r="V98" i="1"/>
  <c r="AA96" i="1"/>
  <c r="AA102" i="1" s="1"/>
  <c r="AA54" i="1"/>
  <c r="V51" i="1"/>
  <c r="V64" i="1"/>
  <c r="V67" i="1"/>
  <c r="AA74" i="1"/>
  <c r="AA35" i="1"/>
  <c r="AA29" i="1"/>
  <c r="V58" i="1"/>
  <c r="AA58" i="1"/>
  <c r="V60" i="1"/>
  <c r="I76" i="1"/>
  <c r="AA59" i="1"/>
  <c r="AA12" i="1"/>
  <c r="Z47" i="1"/>
  <c r="AA66" i="1"/>
  <c r="V11" i="1"/>
  <c r="AA20" i="1"/>
  <c r="V75" i="1"/>
  <c r="AA51" i="1"/>
  <c r="AA30" i="1"/>
  <c r="X39" i="1"/>
  <c r="AA49" i="1"/>
  <c r="J55" i="1"/>
  <c r="Z55" i="1"/>
  <c r="Z69" i="1"/>
  <c r="AA57" i="1"/>
  <c r="AA62" i="1" s="1"/>
  <c r="Y76" i="1"/>
  <c r="I39" i="1"/>
  <c r="AA34" i="1"/>
  <c r="AA37" i="1"/>
  <c r="V54" i="1"/>
  <c r="AA60" i="1"/>
  <c r="Y31" i="1"/>
  <c r="V34" i="1"/>
  <c r="AA6" i="1"/>
  <c r="V2" i="1"/>
  <c r="V14" i="1"/>
  <c r="V6" i="1"/>
  <c r="AA3" i="1"/>
  <c r="AA14" i="1"/>
  <c r="Y16" i="1"/>
  <c r="V22" i="1"/>
  <c r="J39" i="1"/>
  <c r="AA43" i="1"/>
  <c r="V45" i="1"/>
  <c r="AA65" i="1"/>
  <c r="V68" i="1"/>
  <c r="AA68" i="1"/>
  <c r="X76" i="1"/>
  <c r="V3" i="1"/>
  <c r="Z16" i="1"/>
  <c r="AA19" i="1"/>
  <c r="AA24" i="1" s="1"/>
  <c r="Y24" i="1"/>
  <c r="Z39" i="1"/>
  <c r="I47" i="1"/>
  <c r="AA45" i="1"/>
  <c r="V59" i="1"/>
  <c r="Z62" i="1"/>
  <c r="J47" i="1"/>
  <c r="V47" i="1" s="1"/>
  <c r="AA42" i="1"/>
  <c r="Y47" i="1"/>
  <c r="V50" i="1"/>
  <c r="AA53" i="1"/>
  <c r="J76" i="1"/>
  <c r="V76" i="1" s="1"/>
  <c r="J8" i="1"/>
  <c r="P24" i="1"/>
  <c r="J31" i="1"/>
  <c r="V30" i="1"/>
  <c r="AA50" i="1"/>
  <c r="V7" i="1"/>
  <c r="I24" i="1"/>
  <c r="X24" i="1"/>
  <c r="V29" i="1"/>
  <c r="AA38" i="1"/>
  <c r="V41" i="1"/>
  <c r="Y55" i="1"/>
  <c r="AA61" i="1"/>
  <c r="AA67" i="1"/>
  <c r="Y69" i="1"/>
  <c r="V74" i="1"/>
  <c r="AA5" i="1"/>
  <c r="I16" i="1"/>
  <c r="O47" i="1"/>
  <c r="P69" i="1"/>
  <c r="I69" i="1"/>
  <c r="V69" i="1" s="1"/>
  <c r="I8" i="1"/>
  <c r="X16" i="1"/>
  <c r="O24" i="1"/>
  <c r="O39" i="1"/>
  <c r="P47" i="1"/>
  <c r="V52" i="1"/>
  <c r="J69" i="1"/>
  <c r="AA76" i="1"/>
  <c r="Z8" i="1"/>
  <c r="P8" i="1"/>
  <c r="V21" i="1"/>
  <c r="AA26" i="1"/>
  <c r="V33" i="1"/>
  <c r="Y8" i="1"/>
  <c r="AA15" i="1"/>
  <c r="V10" i="1"/>
  <c r="AA18" i="1"/>
  <c r="Z24" i="1"/>
  <c r="Y39" i="1"/>
  <c r="AA41" i="1"/>
  <c r="V66" i="1"/>
  <c r="O16" i="1"/>
  <c r="V13" i="1"/>
  <c r="V20" i="1"/>
  <c r="V27" i="1"/>
  <c r="AA33" i="1"/>
  <c r="I55" i="1"/>
  <c r="V55" i="1" s="1"/>
  <c r="AA52" i="1"/>
  <c r="O76" i="1"/>
  <c r="V73" i="1"/>
  <c r="J24" i="1"/>
  <c r="V24" i="1" s="1"/>
  <c r="V43" i="1"/>
  <c r="V49" i="1"/>
  <c r="X55" i="1"/>
  <c r="V57" i="1"/>
  <c r="V65" i="1"/>
  <c r="P76" i="1"/>
  <c r="AA11" i="1"/>
  <c r="AA21" i="1"/>
  <c r="AA23" i="1"/>
  <c r="O31" i="1"/>
  <c r="I31" i="1"/>
  <c r="V31" i="1" s="1"/>
  <c r="V35" i="1"/>
  <c r="O62" i="1"/>
  <c r="V71" i="1"/>
  <c r="P39" i="1"/>
  <c r="P16" i="1"/>
  <c r="AA7" i="1"/>
  <c r="V19" i="1"/>
  <c r="P31" i="1"/>
  <c r="AA44" i="1"/>
  <c r="AA46" i="1"/>
  <c r="X47" i="1"/>
  <c r="O55" i="1"/>
  <c r="P62" i="1"/>
  <c r="O69" i="1"/>
  <c r="B75" i="1"/>
  <c r="B74" i="1"/>
  <c r="B76" i="1" s="1"/>
  <c r="B77" i="1" s="1"/>
  <c r="C75" i="1"/>
  <c r="C74" i="1"/>
  <c r="C76" i="1" s="1"/>
  <c r="C77" i="1" s="1"/>
  <c r="A75" i="1"/>
  <c r="A74" i="1"/>
  <c r="A76" i="1" s="1"/>
  <c r="AA69" i="1"/>
  <c r="A67" i="1"/>
  <c r="A69" i="1" s="1"/>
  <c r="A68" i="1"/>
  <c r="C68" i="1"/>
  <c r="C67" i="1"/>
  <c r="C69" i="1" s="1"/>
  <c r="C70" i="1" s="1"/>
  <c r="B67" i="1"/>
  <c r="B69" i="1" s="1"/>
  <c r="B70" i="1" s="1"/>
  <c r="I62" i="1"/>
  <c r="J62" i="1"/>
  <c r="C54" i="1"/>
  <c r="C53" i="1"/>
  <c r="C55" i="1" s="1"/>
  <c r="C56" i="1" s="1"/>
  <c r="A54" i="1"/>
  <c r="A53" i="1"/>
  <c r="A55" i="1" s="1"/>
  <c r="B54" i="1"/>
  <c r="B53" i="1"/>
  <c r="B55" i="1" s="1"/>
  <c r="B56" i="1" s="1"/>
  <c r="C47" i="1"/>
  <c r="C48" i="1" s="1"/>
  <c r="C45" i="1"/>
  <c r="C46" i="1" s="1"/>
  <c r="B47" i="1"/>
  <c r="B48" i="1" s="1"/>
  <c r="B45" i="1"/>
  <c r="B46" i="1" s="1"/>
  <c r="AA47" i="1"/>
  <c r="A47" i="1"/>
  <c r="A45" i="1"/>
  <c r="A46" i="1" s="1"/>
  <c r="AB47" i="1"/>
  <c r="AB48" i="1" s="1"/>
  <c r="AB46" i="1"/>
  <c r="B38" i="1"/>
  <c r="B37" i="1"/>
  <c r="B39" i="1" s="1"/>
  <c r="B40" i="1" s="1"/>
  <c r="C38" i="1"/>
  <c r="C37" i="1"/>
  <c r="C39" i="1" s="1"/>
  <c r="C40" i="1" s="1"/>
  <c r="A38" i="1"/>
  <c r="A37" i="1"/>
  <c r="A39" i="1" s="1"/>
  <c r="C23" i="1"/>
  <c r="C22" i="1"/>
  <c r="C24" i="1" s="1"/>
  <c r="C25" i="1" s="1"/>
  <c r="A23" i="1"/>
  <c r="A22" i="1"/>
  <c r="A24" i="1" s="1"/>
  <c r="B23" i="1"/>
  <c r="B22" i="1"/>
  <c r="B24" i="1" s="1"/>
  <c r="B25" i="1" s="1"/>
  <c r="A15" i="1"/>
  <c r="A14" i="1"/>
  <c r="A16" i="1" s="1"/>
  <c r="B15" i="1"/>
  <c r="B14" i="1"/>
  <c r="B16" i="1" s="1"/>
  <c r="B17" i="1" s="1"/>
  <c r="C15" i="1"/>
  <c r="C14" i="1"/>
  <c r="C16" i="1" s="1"/>
  <c r="C17" i="1" s="1"/>
  <c r="J16" i="1"/>
  <c r="V16" i="1" s="1"/>
  <c r="B6" i="1"/>
  <c r="B8" i="1" s="1"/>
  <c r="B9" i="1" s="1"/>
  <c r="B7" i="1"/>
  <c r="A6" i="1"/>
  <c r="A8" i="1" s="1"/>
  <c r="A7" i="1"/>
  <c r="C6" i="1"/>
  <c r="C8" i="1" s="1"/>
  <c r="C9" i="1" s="1"/>
  <c r="C7" i="1"/>
  <c r="O8" i="1"/>
  <c r="AA24" i="4"/>
  <c r="V269" i="1" l="1"/>
  <c r="V7" i="4"/>
  <c r="W7" i="4"/>
  <c r="AA7" i="4"/>
  <c r="V262" i="1"/>
  <c r="C29" i="4"/>
  <c r="C30" i="4" s="1"/>
  <c r="C28" i="4"/>
  <c r="V29" i="4"/>
  <c r="W29" i="4"/>
  <c r="AA29" i="4"/>
  <c r="V212" i="1"/>
  <c r="AA212" i="1"/>
  <c r="W204" i="1"/>
  <c r="V181" i="1"/>
  <c r="V174" i="1"/>
  <c r="V166" i="1"/>
  <c r="V159" i="1"/>
  <c r="V135" i="1"/>
  <c r="V127" i="1"/>
  <c r="V120" i="1"/>
  <c r="V111" i="1"/>
  <c r="V102" i="1"/>
  <c r="AA55" i="1"/>
  <c r="AA16" i="1"/>
  <c r="AA8" i="1"/>
  <c r="AA31" i="1"/>
  <c r="V8" i="1"/>
  <c r="V39" i="1"/>
  <c r="AA39" i="1"/>
  <c r="V62" i="1"/>
</calcChain>
</file>

<file path=xl/sharedStrings.xml><?xml version="1.0" encoding="utf-8"?>
<sst xmlns="http://schemas.openxmlformats.org/spreadsheetml/2006/main" count="493" uniqueCount="80">
  <si>
    <t>2PM</t>
  </si>
  <si>
    <t>2PA</t>
  </si>
  <si>
    <t>3PM</t>
  </si>
  <si>
    <t>3PA</t>
  </si>
  <si>
    <t>FGM</t>
  </si>
  <si>
    <t>FGA</t>
  </si>
  <si>
    <t>FTM</t>
  </si>
  <si>
    <t>FTA</t>
  </si>
  <si>
    <t>O REB</t>
  </si>
  <si>
    <t>D REB</t>
  </si>
  <si>
    <t>PTS</t>
  </si>
  <si>
    <t>REB</t>
  </si>
  <si>
    <t>AST</t>
  </si>
  <si>
    <t>BLK</t>
  </si>
  <si>
    <t>STL</t>
  </si>
  <si>
    <t>TOV</t>
  </si>
  <si>
    <t>FLS</t>
  </si>
  <si>
    <t>FG%</t>
  </si>
  <si>
    <t>FT%</t>
  </si>
  <si>
    <t>2P%</t>
  </si>
  <si>
    <t>3P%</t>
  </si>
  <si>
    <t>GSC</t>
  </si>
  <si>
    <t>OPP</t>
  </si>
  <si>
    <t>NAMES</t>
  </si>
  <si>
    <t>GAME</t>
  </si>
  <si>
    <t>SEASON</t>
  </si>
  <si>
    <t>TYPE</t>
  </si>
  <si>
    <t>REG</t>
  </si>
  <si>
    <t>Daniel Monitto</t>
  </si>
  <si>
    <t>Brooklyn Bulmer</t>
  </si>
  <si>
    <t>Adrian Monitto</t>
  </si>
  <si>
    <t>PRE</t>
  </si>
  <si>
    <t>Injury Reserves</t>
  </si>
  <si>
    <t>INJURY RESERVES</t>
  </si>
  <si>
    <t>Joel Evans</t>
  </si>
  <si>
    <t>Matthew Bayly</t>
  </si>
  <si>
    <t>Hayden Cromberge</t>
  </si>
  <si>
    <t>PRIME TIME</t>
  </si>
  <si>
    <t>Jack</t>
  </si>
  <si>
    <t>Jai</t>
  </si>
  <si>
    <t>Kawhi About It</t>
  </si>
  <si>
    <t>Joel Kingdom-Evans</t>
  </si>
  <si>
    <t>Zack Johnston</t>
  </si>
  <si>
    <t>Uncle Brickers</t>
  </si>
  <si>
    <t>Monstars</t>
  </si>
  <si>
    <t>Lachlan Farley</t>
  </si>
  <si>
    <t>Non Compliant</t>
  </si>
  <si>
    <t xml:space="preserve"> </t>
  </si>
  <si>
    <t>Low Expectations</t>
  </si>
  <si>
    <t>slow motion</t>
  </si>
  <si>
    <t>too drunk to dunk</t>
  </si>
  <si>
    <t>James Norrish</t>
  </si>
  <si>
    <t>Goon Squad</t>
  </si>
  <si>
    <t>FINAL</t>
  </si>
  <si>
    <t>Dirty Magic</t>
  </si>
  <si>
    <t>Jims Ballers</t>
  </si>
  <si>
    <t>Killer Barbies</t>
  </si>
  <si>
    <t>Sister In-Laws</t>
  </si>
  <si>
    <t>Ripperz</t>
  </si>
  <si>
    <t>Park City</t>
  </si>
  <si>
    <t>James Aquilina</t>
  </si>
  <si>
    <t>Stefan Spanopoulos</t>
  </si>
  <si>
    <t>Chris Juleg</t>
  </si>
  <si>
    <t>Matthew Parker</t>
  </si>
  <si>
    <t>TS%</t>
  </si>
  <si>
    <t>Jack Groves</t>
  </si>
  <si>
    <t>Power House 3</t>
  </si>
  <si>
    <t>Smoove Movers</t>
  </si>
  <si>
    <t>Bailey Moon</t>
  </si>
  <si>
    <t>Ashton Moon</t>
  </si>
  <si>
    <t>The Warriors</t>
  </si>
  <si>
    <t>Wolves</t>
  </si>
  <si>
    <t xml:space="preserve">  </t>
  </si>
  <si>
    <t>Chris Juelg</t>
  </si>
  <si>
    <t>Patreek Sharma</t>
  </si>
  <si>
    <t>Disciples</t>
  </si>
  <si>
    <t>Drew Killender-Strachan</t>
  </si>
  <si>
    <t>Konoha</t>
  </si>
  <si>
    <t>Mickeylads</t>
  </si>
  <si>
    <t>Brodie Reardon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</si>
</sst>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4"/>
      <color theme="0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b/>
      <sz val="22"/>
      <color theme="0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sz val="20"/>
      <color rgb="FFCCFF66"/>
      <name val="Aptos Narrow"/>
      <family val="2"/>
      <scheme val="minor"/>
    </font>
    <font>
      <sz val="20"/>
      <color rgb="FFFF0000"/>
      <name val="Aptos Narrow"/>
      <family val="2"/>
      <scheme val="minor"/>
    </font>
    <font>
      <sz val="20"/>
      <color theme="0"/>
      <name val="Aptos Narrow"/>
      <family val="2"/>
      <scheme val="minor"/>
    </font>
    <font>
      <sz val="24"/>
      <color theme="0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48"/>
      <color theme="0"/>
      <name val="Britannic Bold"/>
    </font>
    <font>
      <sz val="11"/>
      <color theme="0"/>
      <name val="Britannic Bold"/>
    </font>
    <font>
      <b/>
      <sz val="24"/>
      <color rgb="FF000000"/>
      <name val="Aptos Narrow"/>
      <family val="2"/>
      <scheme val="minor"/>
    </font>
    <font>
      <sz val="24"/>
      <color rgb="FF000000"/>
      <name val="Aptos Narrow"/>
      <family val="2"/>
      <scheme val="minor"/>
    </font>
    <font>
      <b/>
      <sz val="24"/>
      <name val="Aptos Narrow"/>
      <family val="2"/>
      <scheme val="minor"/>
    </font>
    <font>
      <sz val="11"/>
      <name val="Aptos Narrow"/>
      <family val="2"/>
      <scheme val="minor"/>
    </font>
    <font>
      <sz val="24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26"/>
      <color theme="1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sz val="8"/>
      <name val="Aptos Narrow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883FF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5"/>
        <bgColor indexed="64"/>
      </patternFill>
    </fill>
    <fill>
      <patternFill patternType="solid">
        <fgColor rgb="FFFF6969"/>
        <bgColor indexed="64"/>
      </patternFill>
    </fill>
    <fill>
      <patternFill patternType="solid">
        <fgColor rgb="FFFFA161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5990FF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173">
    <xf numFmtId="0" fontId="0" fillId="0" borderId="0" xfId="0"/>
    <xf numFmtId="0" fontId="1" fillId="2" borderId="0" xfId="1" applyFill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10" fontId="6" fillId="2" borderId="1" xfId="1" applyNumberFormat="1" applyFont="1" applyFill="1" applyBorder="1" applyAlignment="1">
      <alignment horizontal="center" vertical="center"/>
    </xf>
    <xf numFmtId="2" fontId="6" fillId="2" borderId="1" xfId="1" applyNumberFormat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4" borderId="1" xfId="1" applyFont="1" applyFill="1" applyBorder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4" fillId="2" borderId="0" xfId="1" applyFont="1" applyFill="1" applyAlignment="1">
      <alignment horizontal="center" vertical="center"/>
    </xf>
    <xf numFmtId="0" fontId="7" fillId="2" borderId="0" xfId="1" applyFont="1" applyFill="1" applyAlignment="1">
      <alignment horizontal="center" vertical="center"/>
    </xf>
    <xf numFmtId="0" fontId="8" fillId="2" borderId="0" xfId="1" applyFont="1" applyFill="1" applyAlignment="1">
      <alignment horizontal="center" vertical="center"/>
    </xf>
    <xf numFmtId="10" fontId="7" fillId="2" borderId="0" xfId="1" applyNumberFormat="1" applyFont="1" applyFill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10" fillId="2" borderId="0" xfId="1" applyFont="1" applyFill="1" applyAlignment="1">
      <alignment horizontal="center" vertical="center"/>
    </xf>
    <xf numFmtId="10" fontId="11" fillId="2" borderId="0" xfId="1" applyNumberFormat="1" applyFont="1" applyFill="1" applyAlignment="1">
      <alignment horizontal="center" vertical="center"/>
    </xf>
    <xf numFmtId="0" fontId="6" fillId="2" borderId="2" xfId="1" applyFont="1" applyFill="1" applyBorder="1" applyAlignment="1">
      <alignment horizontal="center" vertical="center"/>
    </xf>
    <xf numFmtId="0" fontId="5" fillId="2" borderId="2" xfId="1" applyFont="1" applyFill="1" applyBorder="1" applyAlignment="1">
      <alignment horizontal="center" vertical="center"/>
    </xf>
    <xf numFmtId="2" fontId="6" fillId="2" borderId="2" xfId="1" applyNumberFormat="1" applyFont="1" applyFill="1" applyBorder="1" applyAlignment="1">
      <alignment horizontal="center" vertical="center"/>
    </xf>
    <xf numFmtId="10" fontId="6" fillId="2" borderId="2" xfId="1" applyNumberFormat="1" applyFont="1" applyFill="1" applyBorder="1" applyAlignment="1">
      <alignment horizontal="center" vertical="center"/>
    </xf>
    <xf numFmtId="10" fontId="6" fillId="2" borderId="3" xfId="1" applyNumberFormat="1" applyFont="1" applyFill="1" applyBorder="1" applyAlignment="1">
      <alignment horizontal="center" vertical="center"/>
    </xf>
    <xf numFmtId="10" fontId="6" fillId="2" borderId="0" xfId="1" applyNumberFormat="1" applyFont="1" applyFill="1" applyAlignment="1">
      <alignment horizontal="center" vertical="center"/>
    </xf>
    <xf numFmtId="2" fontId="6" fillId="2" borderId="0" xfId="1" applyNumberFormat="1" applyFont="1" applyFill="1" applyAlignment="1">
      <alignment horizontal="center" vertical="center"/>
    </xf>
    <xf numFmtId="0" fontId="6" fillId="2" borderId="0" xfId="1" applyFont="1" applyFill="1" applyAlignment="1">
      <alignment horizontal="center" vertical="center"/>
    </xf>
    <xf numFmtId="0" fontId="2" fillId="2" borderId="0" xfId="1" applyFont="1" applyFill="1" applyAlignment="1">
      <alignment horizontal="center" vertical="center"/>
    </xf>
    <xf numFmtId="0" fontId="5" fillId="2" borderId="0" xfId="1" applyFont="1" applyFill="1" applyAlignment="1">
      <alignment horizontal="center" vertical="center"/>
    </xf>
    <xf numFmtId="10" fontId="12" fillId="2" borderId="0" xfId="1" applyNumberFormat="1" applyFont="1" applyFill="1" applyAlignment="1">
      <alignment horizontal="center" vertical="center"/>
    </xf>
    <xf numFmtId="0" fontId="12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2" fontId="5" fillId="2" borderId="2" xfId="1" applyNumberFormat="1" applyFont="1" applyFill="1" applyBorder="1" applyAlignment="1">
      <alignment horizontal="center" vertical="center"/>
    </xf>
    <xf numFmtId="10" fontId="5" fillId="2" borderId="2" xfId="1" applyNumberFormat="1" applyFont="1" applyFill="1" applyBorder="1" applyAlignment="1">
      <alignment horizontal="center" vertical="center"/>
    </xf>
    <xf numFmtId="10" fontId="5" fillId="2" borderId="3" xfId="1" applyNumberFormat="1" applyFont="1" applyFill="1" applyBorder="1" applyAlignment="1">
      <alignment horizontal="center" vertical="center"/>
    </xf>
    <xf numFmtId="10" fontId="5" fillId="2" borderId="0" xfId="1" applyNumberFormat="1" applyFont="1" applyFill="1" applyAlignment="1">
      <alignment horizontal="center" vertical="center"/>
    </xf>
    <xf numFmtId="2" fontId="5" fillId="2" borderId="0" xfId="1" applyNumberFormat="1" applyFont="1" applyFill="1" applyAlignment="1">
      <alignment horizontal="center" vertical="center"/>
    </xf>
    <xf numFmtId="0" fontId="14" fillId="2" borderId="0" xfId="1" applyFont="1" applyFill="1" applyAlignment="1">
      <alignment horizontal="center" vertical="center"/>
    </xf>
    <xf numFmtId="0" fontId="15" fillId="2" borderId="0" xfId="1" applyFont="1" applyFill="1" applyAlignment="1">
      <alignment horizontal="center" vertical="center"/>
    </xf>
    <xf numFmtId="0" fontId="5" fillId="2" borderId="3" xfId="1" applyFont="1" applyFill="1" applyBorder="1" applyAlignment="1">
      <alignment horizontal="center" vertical="center"/>
    </xf>
    <xf numFmtId="0" fontId="6" fillId="2" borderId="4" xfId="1" applyFont="1" applyFill="1" applyBorder="1" applyAlignment="1">
      <alignment horizontal="center" vertical="center"/>
    </xf>
    <xf numFmtId="10" fontId="6" fillId="2" borderId="4" xfId="1" applyNumberFormat="1" applyFont="1" applyFill="1" applyBorder="1" applyAlignment="1">
      <alignment horizontal="center" vertical="center"/>
    </xf>
    <xf numFmtId="2" fontId="6" fillId="2" borderId="0" xfId="0" applyNumberFormat="1" applyFont="1" applyFill="1" applyAlignment="1">
      <alignment horizontal="center" vertical="center"/>
    </xf>
    <xf numFmtId="0" fontId="1" fillId="2" borderId="1" xfId="1" applyFill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4" fillId="2" borderId="0" xfId="1" applyFont="1" applyFill="1" applyAlignment="1">
      <alignment horizontal="center"/>
    </xf>
    <xf numFmtId="0" fontId="18" fillId="12" borderId="2" xfId="1" applyFont="1" applyFill="1" applyBorder="1" applyAlignment="1">
      <alignment horizontal="center" vertical="center"/>
    </xf>
    <xf numFmtId="0" fontId="19" fillId="2" borderId="0" xfId="1" applyFont="1" applyFill="1" applyAlignment="1">
      <alignment horizontal="center" vertical="center"/>
    </xf>
    <xf numFmtId="0" fontId="20" fillId="12" borderId="2" xfId="1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18" fillId="2" borderId="2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6" fillId="2" borderId="1" xfId="1" applyFont="1" applyFill="1" applyBorder="1" applyAlignment="1">
      <alignment horizontal="center"/>
    </xf>
    <xf numFmtId="10" fontId="6" fillId="2" borderId="1" xfId="1" applyNumberFormat="1" applyFont="1" applyFill="1" applyBorder="1" applyAlignment="1">
      <alignment horizontal="center"/>
    </xf>
    <xf numFmtId="2" fontId="6" fillId="2" borderId="1" xfId="1" applyNumberFormat="1" applyFont="1" applyFill="1" applyBorder="1" applyAlignment="1">
      <alignment horizontal="center"/>
    </xf>
    <xf numFmtId="2" fontId="20" fillId="2" borderId="2" xfId="1" applyNumberFormat="1" applyFont="1" applyFill="1" applyBorder="1" applyAlignment="1">
      <alignment horizontal="center" vertical="center"/>
    </xf>
    <xf numFmtId="2" fontId="18" fillId="2" borderId="2" xfId="1" applyNumberFormat="1" applyFont="1" applyFill="1" applyBorder="1" applyAlignment="1">
      <alignment horizontal="center" vertical="center"/>
    </xf>
    <xf numFmtId="10" fontId="5" fillId="2" borderId="1" xfId="1" applyNumberFormat="1" applyFont="1" applyFill="1" applyBorder="1" applyAlignment="1">
      <alignment horizontal="center"/>
    </xf>
    <xf numFmtId="2" fontId="5" fillId="2" borderId="1" xfId="1" applyNumberFormat="1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0" fontId="6" fillId="2" borderId="1" xfId="0" applyNumberFormat="1" applyFont="1" applyFill="1" applyBorder="1" applyAlignment="1">
      <alignment horizontal="center" vertical="center"/>
    </xf>
    <xf numFmtId="2" fontId="6" fillId="2" borderId="1" xfId="0" applyNumberFormat="1" applyFont="1" applyFill="1" applyBorder="1" applyAlignment="1">
      <alignment horizontal="center" vertical="center"/>
    </xf>
    <xf numFmtId="10" fontId="5" fillId="2" borderId="1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0" fontId="17" fillId="20" borderId="1" xfId="0" applyFont="1" applyFill="1" applyBorder="1" applyAlignment="1">
      <alignment horizontal="center" vertical="center"/>
    </xf>
    <xf numFmtId="10" fontId="17" fillId="20" borderId="1" xfId="0" applyNumberFormat="1" applyFont="1" applyFill="1" applyBorder="1" applyAlignment="1">
      <alignment horizontal="center" vertical="center"/>
    </xf>
    <xf numFmtId="2" fontId="17" fillId="20" borderId="1" xfId="0" applyNumberFormat="1" applyFont="1" applyFill="1" applyBorder="1" applyAlignment="1">
      <alignment horizontal="center" vertical="center"/>
    </xf>
    <xf numFmtId="0" fontId="17" fillId="20" borderId="5" xfId="0" applyFont="1" applyFill="1" applyBorder="1" applyAlignment="1">
      <alignment horizontal="center" vertical="center"/>
    </xf>
    <xf numFmtId="0" fontId="17" fillId="20" borderId="6" xfId="0" applyFont="1" applyFill="1" applyBorder="1" applyAlignment="1">
      <alignment horizontal="center" vertical="center"/>
    </xf>
    <xf numFmtId="10" fontId="17" fillId="20" borderId="6" xfId="0" applyNumberFormat="1" applyFont="1" applyFill="1" applyBorder="1" applyAlignment="1">
      <alignment horizontal="center" vertical="center"/>
    </xf>
    <xf numFmtId="2" fontId="17" fillId="20" borderId="6" xfId="0" applyNumberFormat="1" applyFont="1" applyFill="1" applyBorder="1" applyAlignment="1">
      <alignment horizontal="center" vertical="center"/>
    </xf>
    <xf numFmtId="0" fontId="17" fillId="20" borderId="7" xfId="0" applyFont="1" applyFill="1" applyBorder="1" applyAlignment="1">
      <alignment horizontal="center" vertical="center"/>
    </xf>
    <xf numFmtId="0" fontId="17" fillId="20" borderId="8" xfId="0" applyFont="1" applyFill="1" applyBorder="1" applyAlignment="1">
      <alignment horizontal="center" vertical="center"/>
    </xf>
    <xf numFmtId="10" fontId="17" fillId="20" borderId="8" xfId="0" applyNumberFormat="1" applyFont="1" applyFill="1" applyBorder="1" applyAlignment="1">
      <alignment horizontal="center" vertical="center"/>
    </xf>
    <xf numFmtId="2" fontId="17" fillId="20" borderId="8" xfId="0" applyNumberFormat="1" applyFont="1" applyFill="1" applyBorder="1" applyAlignment="1">
      <alignment horizontal="center" vertical="center"/>
    </xf>
    <xf numFmtId="0" fontId="16" fillId="20" borderId="7" xfId="0" applyFont="1" applyFill="1" applyBorder="1" applyAlignment="1">
      <alignment horizontal="center" vertical="center"/>
    </xf>
    <xf numFmtId="0" fontId="16" fillId="20" borderId="8" xfId="0" applyFont="1" applyFill="1" applyBorder="1" applyAlignment="1">
      <alignment horizontal="center" vertical="center"/>
    </xf>
    <xf numFmtId="10" fontId="16" fillId="20" borderId="8" xfId="0" applyNumberFormat="1" applyFont="1" applyFill="1" applyBorder="1" applyAlignment="1">
      <alignment horizontal="center" vertical="center"/>
    </xf>
    <xf numFmtId="2" fontId="16" fillId="20" borderId="8" xfId="0" applyNumberFormat="1" applyFont="1" applyFill="1" applyBorder="1" applyAlignment="1">
      <alignment horizontal="center" vertical="center"/>
    </xf>
    <xf numFmtId="0" fontId="23" fillId="20" borderId="0" xfId="0" applyFont="1" applyFill="1" applyAlignment="1">
      <alignment horizontal="center" vertical="center"/>
    </xf>
    <xf numFmtId="0" fontId="20" fillId="2" borderId="2" xfId="1" applyFont="1" applyFill="1" applyBorder="1" applyAlignment="1">
      <alignment horizontal="center" vertical="center"/>
    </xf>
    <xf numFmtId="0" fontId="22" fillId="2" borderId="0" xfId="0" applyFont="1" applyFill="1"/>
    <xf numFmtId="0" fontId="22" fillId="0" borderId="2" xfId="0" applyFont="1" applyBorder="1"/>
    <xf numFmtId="0" fontId="4" fillId="2" borderId="2" xfId="1" applyFont="1" applyFill="1" applyBorder="1" applyAlignment="1">
      <alignment horizontal="center"/>
    </xf>
    <xf numFmtId="0" fontId="5" fillId="3" borderId="2" xfId="1" applyFont="1" applyFill="1" applyBorder="1" applyAlignment="1">
      <alignment horizontal="center" vertical="center"/>
    </xf>
    <xf numFmtId="0" fontId="5" fillId="4" borderId="2" xfId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/>
    </xf>
    <xf numFmtId="0" fontId="6" fillId="5" borderId="2" xfId="1" applyFont="1" applyFill="1" applyBorder="1" applyAlignment="1">
      <alignment horizontal="center"/>
    </xf>
    <xf numFmtId="10" fontId="6" fillId="5" borderId="2" xfId="1" applyNumberFormat="1" applyFont="1" applyFill="1" applyBorder="1" applyAlignment="1">
      <alignment horizontal="center"/>
    </xf>
    <xf numFmtId="2" fontId="6" fillId="5" borderId="2" xfId="1" applyNumberFormat="1" applyFont="1" applyFill="1" applyBorder="1" applyAlignment="1">
      <alignment horizontal="center"/>
    </xf>
    <xf numFmtId="0" fontId="6" fillId="6" borderId="2" xfId="1" applyFont="1" applyFill="1" applyBorder="1" applyAlignment="1">
      <alignment horizontal="center"/>
    </xf>
    <xf numFmtId="10" fontId="6" fillId="6" borderId="2" xfId="1" applyNumberFormat="1" applyFont="1" applyFill="1" applyBorder="1" applyAlignment="1">
      <alignment horizontal="center"/>
    </xf>
    <xf numFmtId="2" fontId="6" fillId="6" borderId="2" xfId="1" applyNumberFormat="1" applyFont="1" applyFill="1" applyBorder="1" applyAlignment="1">
      <alignment horizontal="center"/>
    </xf>
    <xf numFmtId="0" fontId="6" fillId="8" borderId="2" xfId="1" applyFont="1" applyFill="1" applyBorder="1" applyAlignment="1">
      <alignment horizontal="center"/>
    </xf>
    <xf numFmtId="10" fontId="6" fillId="8" borderId="2" xfId="1" applyNumberFormat="1" applyFont="1" applyFill="1" applyBorder="1" applyAlignment="1">
      <alignment horizontal="center"/>
    </xf>
    <xf numFmtId="2" fontId="6" fillId="8" borderId="2" xfId="1" applyNumberFormat="1" applyFont="1" applyFill="1" applyBorder="1" applyAlignment="1">
      <alignment horizontal="center"/>
    </xf>
    <xf numFmtId="0" fontId="6" fillId="9" borderId="2" xfId="1" applyFont="1" applyFill="1" applyBorder="1" applyAlignment="1">
      <alignment horizontal="center"/>
    </xf>
    <xf numFmtId="10" fontId="6" fillId="9" borderId="2" xfId="1" applyNumberFormat="1" applyFont="1" applyFill="1" applyBorder="1" applyAlignment="1">
      <alignment horizontal="center"/>
    </xf>
    <xf numFmtId="2" fontId="6" fillId="9" borderId="2" xfId="1" applyNumberFormat="1" applyFont="1" applyFill="1" applyBorder="1" applyAlignment="1">
      <alignment horizontal="center"/>
    </xf>
    <xf numFmtId="0" fontId="6" fillId="11" borderId="2" xfId="1" applyFont="1" applyFill="1" applyBorder="1" applyAlignment="1">
      <alignment horizontal="center"/>
    </xf>
    <xf numFmtId="10" fontId="6" fillId="11" borderId="2" xfId="1" applyNumberFormat="1" applyFont="1" applyFill="1" applyBorder="1" applyAlignment="1">
      <alignment horizontal="center"/>
    </xf>
    <xf numFmtId="2" fontId="6" fillId="11" borderId="2" xfId="1" applyNumberFormat="1" applyFont="1" applyFill="1" applyBorder="1" applyAlignment="1">
      <alignment horizontal="center"/>
    </xf>
    <xf numFmtId="0" fontId="6" fillId="14" borderId="2" xfId="1" applyFont="1" applyFill="1" applyBorder="1" applyAlignment="1">
      <alignment horizontal="center"/>
    </xf>
    <xf numFmtId="10" fontId="6" fillId="14" borderId="2" xfId="1" applyNumberFormat="1" applyFont="1" applyFill="1" applyBorder="1" applyAlignment="1">
      <alignment horizontal="center"/>
    </xf>
    <xf numFmtId="2" fontId="6" fillId="14" borderId="2" xfId="1" applyNumberFormat="1" applyFont="1" applyFill="1" applyBorder="1" applyAlignment="1">
      <alignment horizontal="center"/>
    </xf>
    <xf numFmtId="0" fontId="5" fillId="4" borderId="2" xfId="1" applyFont="1" applyFill="1" applyBorder="1" applyAlignment="1">
      <alignment horizontal="center"/>
    </xf>
    <xf numFmtId="10" fontId="5" fillId="4" borderId="2" xfId="1" applyNumberFormat="1" applyFont="1" applyFill="1" applyBorder="1" applyAlignment="1">
      <alignment horizontal="center"/>
    </xf>
    <xf numFmtId="2" fontId="5" fillId="4" borderId="2" xfId="1" applyNumberFormat="1" applyFont="1" applyFill="1" applyBorder="1" applyAlignment="1">
      <alignment horizontal="center"/>
    </xf>
    <xf numFmtId="0" fontId="1" fillId="12" borderId="9" xfId="1" applyFill="1" applyBorder="1" applyAlignment="1">
      <alignment horizontal="center"/>
    </xf>
    <xf numFmtId="0" fontId="5" fillId="12" borderId="9" xfId="1" applyFont="1" applyFill="1" applyBorder="1" applyAlignment="1">
      <alignment horizontal="center"/>
    </xf>
    <xf numFmtId="0" fontId="6" fillId="12" borderId="9" xfId="1" applyFont="1" applyFill="1" applyBorder="1" applyAlignment="1">
      <alignment horizontal="center"/>
    </xf>
    <xf numFmtId="10" fontId="6" fillId="12" borderId="9" xfId="1" applyNumberFormat="1" applyFont="1" applyFill="1" applyBorder="1" applyAlignment="1">
      <alignment horizontal="center"/>
    </xf>
    <xf numFmtId="2" fontId="6" fillId="12" borderId="9" xfId="1" applyNumberFormat="1" applyFont="1" applyFill="1" applyBorder="1" applyAlignment="1">
      <alignment horizontal="center"/>
    </xf>
    <xf numFmtId="0" fontId="16" fillId="13" borderId="9" xfId="1" applyFont="1" applyFill="1" applyBorder="1" applyAlignment="1">
      <alignment horizontal="center"/>
    </xf>
    <xf numFmtId="0" fontId="17" fillId="13" borderId="9" xfId="1" applyFont="1" applyFill="1" applyBorder="1" applyAlignment="1">
      <alignment horizontal="center"/>
    </xf>
    <xf numFmtId="0" fontId="22" fillId="0" borderId="9" xfId="0" applyFont="1" applyBorder="1"/>
    <xf numFmtId="0" fontId="0" fillId="0" borderId="9" xfId="0" applyBorder="1"/>
    <xf numFmtId="10" fontId="5" fillId="12" borderId="9" xfId="1" applyNumberFormat="1" applyFont="1" applyFill="1" applyBorder="1" applyAlignment="1">
      <alignment horizontal="center"/>
    </xf>
    <xf numFmtId="2" fontId="5" fillId="12" borderId="9" xfId="1" applyNumberFormat="1" applyFont="1" applyFill="1" applyBorder="1" applyAlignment="1">
      <alignment horizontal="center"/>
    </xf>
    <xf numFmtId="0" fontId="4" fillId="12" borderId="9" xfId="1" applyFont="1" applyFill="1" applyBorder="1" applyAlignment="1">
      <alignment horizontal="center"/>
    </xf>
    <xf numFmtId="0" fontId="5" fillId="15" borderId="9" xfId="0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10" fontId="6" fillId="5" borderId="9" xfId="0" applyNumberFormat="1" applyFont="1" applyFill="1" applyBorder="1" applyAlignment="1">
      <alignment horizontal="center" vertical="center"/>
    </xf>
    <xf numFmtId="2" fontId="6" fillId="5" borderId="9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/>
    </xf>
    <xf numFmtId="10" fontId="6" fillId="10" borderId="9" xfId="0" applyNumberFormat="1" applyFont="1" applyFill="1" applyBorder="1" applyAlignment="1">
      <alignment horizontal="center" vertical="center"/>
    </xf>
    <xf numFmtId="2" fontId="6" fillId="10" borderId="9" xfId="0" applyNumberFormat="1" applyFont="1" applyFill="1" applyBorder="1" applyAlignment="1">
      <alignment horizontal="center" vertical="center"/>
    </xf>
    <xf numFmtId="0" fontId="6" fillId="7" borderId="9" xfId="0" applyFont="1" applyFill="1" applyBorder="1" applyAlignment="1">
      <alignment horizontal="center" vertical="center"/>
    </xf>
    <xf numFmtId="10" fontId="6" fillId="7" borderId="9" xfId="0" applyNumberFormat="1" applyFont="1" applyFill="1" applyBorder="1" applyAlignment="1">
      <alignment horizontal="center" vertical="center"/>
    </xf>
    <xf numFmtId="2" fontId="6" fillId="7" borderId="9" xfId="0" applyNumberFormat="1" applyFont="1" applyFill="1" applyBorder="1" applyAlignment="1">
      <alignment horizontal="center" vertical="center"/>
    </xf>
    <xf numFmtId="0" fontId="6" fillId="16" borderId="9" xfId="0" applyFont="1" applyFill="1" applyBorder="1" applyAlignment="1">
      <alignment horizontal="center" vertical="center"/>
    </xf>
    <xf numFmtId="10" fontId="6" fillId="16" borderId="9" xfId="0" applyNumberFormat="1" applyFont="1" applyFill="1" applyBorder="1" applyAlignment="1">
      <alignment horizontal="center" vertical="center"/>
    </xf>
    <xf numFmtId="2" fontId="6" fillId="16" borderId="9" xfId="0" applyNumberFormat="1" applyFont="1" applyFill="1" applyBorder="1" applyAlignment="1">
      <alignment horizontal="center" vertical="center"/>
    </xf>
    <xf numFmtId="0" fontId="6" fillId="17" borderId="9" xfId="0" applyFont="1" applyFill="1" applyBorder="1" applyAlignment="1">
      <alignment horizontal="center" vertical="center"/>
    </xf>
    <xf numFmtId="10" fontId="6" fillId="17" borderId="9" xfId="0" applyNumberFormat="1" applyFont="1" applyFill="1" applyBorder="1" applyAlignment="1">
      <alignment horizontal="center" vertical="center"/>
    </xf>
    <xf numFmtId="2" fontId="6" fillId="17" borderId="9" xfId="0" applyNumberFormat="1" applyFont="1" applyFill="1" applyBorder="1" applyAlignment="1">
      <alignment horizontal="center" vertical="center"/>
    </xf>
    <xf numFmtId="0" fontId="6" fillId="18" borderId="9" xfId="0" applyFont="1" applyFill="1" applyBorder="1" applyAlignment="1">
      <alignment horizontal="center" vertical="center"/>
    </xf>
    <xf numFmtId="10" fontId="6" fillId="18" borderId="9" xfId="0" applyNumberFormat="1" applyFont="1" applyFill="1" applyBorder="1" applyAlignment="1">
      <alignment horizontal="center" vertical="center"/>
    </xf>
    <xf numFmtId="2" fontId="6" fillId="18" borderId="9" xfId="0" applyNumberFormat="1" applyFont="1" applyFill="1" applyBorder="1" applyAlignment="1">
      <alignment horizontal="center" vertical="center"/>
    </xf>
    <xf numFmtId="0" fontId="6" fillId="19" borderId="9" xfId="0" applyFont="1" applyFill="1" applyBorder="1" applyAlignment="1">
      <alignment horizontal="center" vertical="center"/>
    </xf>
    <xf numFmtId="10" fontId="6" fillId="19" borderId="9" xfId="0" applyNumberFormat="1" applyFont="1" applyFill="1" applyBorder="1" applyAlignment="1">
      <alignment horizontal="center" vertical="center"/>
    </xf>
    <xf numFmtId="2" fontId="6" fillId="19" borderId="9" xfId="0" applyNumberFormat="1" applyFont="1" applyFill="1" applyBorder="1" applyAlignment="1">
      <alignment horizontal="center" vertical="center"/>
    </xf>
    <xf numFmtId="10" fontId="5" fillId="15" borderId="9" xfId="0" applyNumberFormat="1" applyFont="1" applyFill="1" applyBorder="1" applyAlignment="1">
      <alignment horizontal="center" vertical="center"/>
    </xf>
    <xf numFmtId="2" fontId="5" fillId="15" borderId="9" xfId="0" applyNumberFormat="1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3" fillId="12" borderId="9" xfId="1" applyFont="1" applyFill="1" applyBorder="1" applyAlignment="1">
      <alignment horizontal="center"/>
    </xf>
    <xf numFmtId="0" fontId="5" fillId="12" borderId="9" xfId="0" applyFont="1" applyFill="1" applyBorder="1" applyAlignment="1">
      <alignment horizontal="center" vertical="center"/>
    </xf>
    <xf numFmtId="2" fontId="6" fillId="12" borderId="9" xfId="0" applyNumberFormat="1" applyFont="1" applyFill="1" applyBorder="1" applyAlignment="1">
      <alignment horizontal="center" vertical="center"/>
    </xf>
    <xf numFmtId="0" fontId="12" fillId="12" borderId="9" xfId="1" applyFont="1" applyFill="1" applyBorder="1" applyAlignment="1">
      <alignment horizontal="left"/>
    </xf>
    <xf numFmtId="0" fontId="6" fillId="12" borderId="9" xfId="0" applyFont="1" applyFill="1" applyBorder="1" applyAlignment="1">
      <alignment horizontal="center" vertical="center"/>
    </xf>
    <xf numFmtId="0" fontId="1" fillId="12" borderId="10" xfId="1" applyFill="1" applyBorder="1" applyAlignment="1">
      <alignment horizontal="center"/>
    </xf>
    <xf numFmtId="0" fontId="5" fillId="12" borderId="10" xfId="1" applyFont="1" applyFill="1" applyBorder="1" applyAlignment="1">
      <alignment horizontal="center"/>
    </xf>
    <xf numFmtId="0" fontId="12" fillId="12" borderId="10" xfId="1" applyFont="1" applyFill="1" applyBorder="1" applyAlignment="1">
      <alignment horizontal="center"/>
    </xf>
    <xf numFmtId="0" fontId="5" fillId="12" borderId="12" xfId="1" applyFont="1" applyFill="1" applyBorder="1" applyAlignment="1">
      <alignment horizontal="center"/>
    </xf>
    <xf numFmtId="0" fontId="1" fillId="12" borderId="12" xfId="1" applyFill="1" applyBorder="1" applyAlignment="1">
      <alignment horizontal="center"/>
    </xf>
    <xf numFmtId="0" fontId="21" fillId="12" borderId="11" xfId="1" applyFont="1" applyFill="1" applyBorder="1" applyAlignment="1">
      <alignment horizontal="center"/>
    </xf>
    <xf numFmtId="0" fontId="5" fillId="12" borderId="11" xfId="1" applyFont="1" applyFill="1" applyBorder="1" applyAlignment="1">
      <alignment horizontal="center"/>
    </xf>
    <xf numFmtId="0" fontId="1" fillId="12" borderId="11" xfId="1" applyFill="1" applyBorder="1" applyAlignment="1">
      <alignment horizontal="center"/>
    </xf>
    <xf numFmtId="0" fontId="22" fillId="0" borderId="2" xfId="0" applyFont="1" applyBorder="1" applyAlignment="1">
      <alignment horizontal="center"/>
    </xf>
    <xf numFmtId="0" fontId="22" fillId="0" borderId="2" xfId="0" applyFont="1" applyBorder="1" applyAlignment="1">
      <alignment horizontal="center" vertical="center"/>
    </xf>
    <xf numFmtId="0" fontId="6" fillId="21" borderId="2" xfId="1" applyFont="1" applyFill="1" applyBorder="1" applyAlignment="1">
      <alignment horizontal="center"/>
    </xf>
    <xf numFmtId="10" fontId="6" fillId="21" borderId="2" xfId="1" applyNumberFormat="1" applyFont="1" applyFill="1" applyBorder="1" applyAlignment="1">
      <alignment horizontal="center"/>
    </xf>
    <xf numFmtId="2" fontId="6" fillId="21" borderId="2" xfId="1" applyNumberFormat="1" applyFont="1" applyFill="1" applyBorder="1" applyAlignment="1">
      <alignment horizontal="center"/>
    </xf>
    <xf numFmtId="0" fontId="6" fillId="22" borderId="2" xfId="1" applyFont="1" applyFill="1" applyBorder="1" applyAlignment="1">
      <alignment horizontal="center"/>
    </xf>
    <xf numFmtId="10" fontId="6" fillId="22" borderId="2" xfId="1" applyNumberFormat="1" applyFont="1" applyFill="1" applyBorder="1" applyAlignment="1">
      <alignment horizontal="center"/>
    </xf>
    <xf numFmtId="2" fontId="6" fillId="22" borderId="2" xfId="1" applyNumberFormat="1" applyFont="1" applyFill="1" applyBorder="1" applyAlignment="1">
      <alignment horizontal="center"/>
    </xf>
    <xf numFmtId="0" fontId="0" fillId="12" borderId="9" xfId="1" applyFont="1" applyFill="1" applyBorder="1" applyAlignment="1">
      <alignment horizontal="center"/>
    </xf>
    <xf numFmtId="0" fontId="6" fillId="0" borderId="9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23" borderId="2" xfId="1" applyFont="1" applyFill="1" applyBorder="1" applyAlignment="1">
      <alignment horizontal="center"/>
    </xf>
    <xf numFmtId="10" fontId="6" fillId="23" borderId="2" xfId="1" applyNumberFormat="1" applyFont="1" applyFill="1" applyBorder="1" applyAlignment="1">
      <alignment horizontal="center"/>
    </xf>
    <xf numFmtId="2" fontId="6" fillId="23" borderId="2" xfId="1" applyNumberFormat="1" applyFont="1" applyFill="1" applyBorder="1" applyAlignment="1">
      <alignment horizontal="center"/>
    </xf>
    <xf numFmtId="0" fontId="6" fillId="2" borderId="0" xfId="0" applyFont="1" applyFill="1"/>
  </cellXfs>
  <cellStyles count="2">
    <cellStyle name="Normal" xfId="0" builtinId="0"/>
    <cellStyle name="Normal 2" xfId="1" xr:uid="{4405C608-E914-43CD-A452-3DF9B740F23B}"/>
  </cellStyles>
  <dxfs count="0"/>
  <tableStyles count="0" defaultTableStyle="TableStyleMedium2" defaultPivotStyle="PivotStyleLight16"/>
  <colors>
    <mruColors>
      <color rgb="FFD883FF"/>
      <color rgb="FFF9CB49"/>
      <color rgb="FF000000"/>
      <color rgb="FF44B3E1"/>
      <color rgb="FF99FF66"/>
      <color rgb="FFFF99CC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0CE90-9A2E-4CB9-986B-E5212230D270}">
  <sheetPr codeName="Sheet9"/>
  <dimension ref="A1:TT437"/>
  <sheetViews>
    <sheetView tabSelected="1" topLeftCell="A24" zoomScale="38" zoomScaleNormal="55" workbookViewId="0">
      <selection activeCell="D45" sqref="D45"/>
    </sheetView>
  </sheetViews>
  <sheetFormatPr defaultColWidth="18.7109375" defaultRowHeight="39.950000000000003" customHeight="1" x14ac:dyDescent="0.25"/>
  <cols>
    <col min="1" max="1" width="28" style="1" bestFit="1" customWidth="1"/>
    <col min="2" max="2" width="28" style="1" customWidth="1"/>
    <col min="3" max="21" width="18.7109375" style="1"/>
    <col min="22" max="22" width="18.85546875" style="1" bestFit="1" customWidth="1"/>
    <col min="23" max="23" width="18.85546875" style="1" customWidth="1"/>
    <col min="24" max="26" width="18.85546875" style="1" bestFit="1" customWidth="1"/>
    <col min="27" max="27" width="21.42578125" style="1" bestFit="1" customWidth="1"/>
    <col min="28" max="28" width="18.7109375" style="24"/>
    <col min="29" max="16384" width="18.7109375" style="1"/>
  </cols>
  <sheetData>
    <row r="1" spans="1:540" ht="39.950000000000003" customHeight="1" x14ac:dyDescent="0.25">
      <c r="A1" s="7" t="s">
        <v>22</v>
      </c>
      <c r="B1" s="7" t="s">
        <v>25</v>
      </c>
      <c r="C1" s="7" t="s">
        <v>24</v>
      </c>
      <c r="D1" s="7" t="s">
        <v>23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K1" s="8" t="s">
        <v>6</v>
      </c>
      <c r="L1" s="8" t="s">
        <v>7</v>
      </c>
      <c r="M1" s="8" t="s">
        <v>8</v>
      </c>
      <c r="N1" s="8" t="s">
        <v>9</v>
      </c>
      <c r="O1" s="8" t="s">
        <v>10</v>
      </c>
      <c r="P1" s="8" t="s">
        <v>11</v>
      </c>
      <c r="Q1" s="8" t="s">
        <v>12</v>
      </c>
      <c r="R1" s="8" t="s">
        <v>13</v>
      </c>
      <c r="S1" s="8" t="s">
        <v>14</v>
      </c>
      <c r="T1" s="8" t="s">
        <v>15</v>
      </c>
      <c r="U1" s="8" t="s">
        <v>16</v>
      </c>
      <c r="V1" s="8" t="s">
        <v>17</v>
      </c>
      <c r="W1" s="8" t="s">
        <v>64</v>
      </c>
      <c r="X1" s="8" t="s">
        <v>18</v>
      </c>
      <c r="Y1" s="8" t="s">
        <v>19</v>
      </c>
      <c r="Z1" s="8" t="s">
        <v>20</v>
      </c>
      <c r="AA1" s="8" t="s">
        <v>21</v>
      </c>
      <c r="AB1" s="8" t="s">
        <v>26</v>
      </c>
      <c r="BC1" s="3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5"/>
      <c r="BV1" s="5"/>
      <c r="BW1" s="5"/>
      <c r="BX1" s="5"/>
      <c r="BY1" s="6"/>
    </row>
    <row r="2" spans="1:540" s="9" customFormat="1" ht="39.950000000000003" customHeight="1" x14ac:dyDescent="0.55000000000000004">
      <c r="A2" s="158" t="str">
        <f>D9</f>
        <v>PRIME TIME</v>
      </c>
      <c r="B2" s="44">
        <v>1</v>
      </c>
      <c r="C2" s="44">
        <v>-1</v>
      </c>
      <c r="D2" s="86" t="s">
        <v>36</v>
      </c>
      <c r="E2" s="87">
        <v>0</v>
      </c>
      <c r="F2" s="87">
        <v>8</v>
      </c>
      <c r="G2" s="87">
        <v>0</v>
      </c>
      <c r="H2" s="87">
        <v>9</v>
      </c>
      <c r="I2" s="87">
        <f>E2+G2</f>
        <v>0</v>
      </c>
      <c r="J2" s="87">
        <f t="shared" ref="J2:J7" si="0">F2+H2</f>
        <v>17</v>
      </c>
      <c r="K2" s="87">
        <v>2</v>
      </c>
      <c r="L2" s="87">
        <v>2</v>
      </c>
      <c r="M2" s="87">
        <v>1</v>
      </c>
      <c r="N2" s="87">
        <v>4</v>
      </c>
      <c r="O2" s="87">
        <f>E2*2+G2*3+K2</f>
        <v>2</v>
      </c>
      <c r="P2" s="87">
        <f>M2+N2</f>
        <v>5</v>
      </c>
      <c r="Q2" s="87">
        <v>1</v>
      </c>
      <c r="R2" s="87">
        <v>0</v>
      </c>
      <c r="S2" s="87">
        <v>3</v>
      </c>
      <c r="T2" s="87">
        <v>1</v>
      </c>
      <c r="U2" s="87">
        <v>1</v>
      </c>
      <c r="V2" s="88">
        <f t="shared" ref="V2:V8" si="1">IFERROR(I2/J2,0)</f>
        <v>0</v>
      </c>
      <c r="W2" s="88">
        <f>IFERROR(O2/(2*(J2+0.44*L2)), 0)</f>
        <v>5.5928411633109625E-2</v>
      </c>
      <c r="X2" s="88">
        <f t="shared" ref="X2:X8" si="2">IFERROR(K2/L2,0)</f>
        <v>1</v>
      </c>
      <c r="Y2" s="88">
        <f t="shared" ref="Y2:Y8" si="3">IFERROR(E2/F2,0)</f>
        <v>0</v>
      </c>
      <c r="Z2" s="88">
        <f t="shared" ref="Z2:Z8" si="4">IFERROR(G2/H2,0)</f>
        <v>0</v>
      </c>
      <c r="AA2" s="89">
        <f t="shared" ref="AA2:AA7" si="5">(O2)+(0.4*I2)-(0.7*J2)-(0.4*(L2-K2))+(0.7*M2)+(0.3*N2)+S2+(0.7*Q2)+(0.7*R2)-(0.4*U2)-T2</f>
        <v>-5.6999999999999993</v>
      </c>
      <c r="AB2" s="167" t="s">
        <v>31</v>
      </c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1"/>
      <c r="AP2" s="41"/>
      <c r="AQ2" s="41"/>
      <c r="AR2" s="41"/>
      <c r="AS2" s="41"/>
      <c r="AT2" s="41"/>
      <c r="AU2" s="41"/>
      <c r="AV2" s="41"/>
      <c r="AW2" s="41"/>
      <c r="AX2" s="41"/>
      <c r="AY2" s="41"/>
      <c r="AZ2" s="41"/>
      <c r="BA2" s="41"/>
      <c r="BB2" s="41"/>
      <c r="BC2" s="41"/>
      <c r="BD2" s="41"/>
      <c r="BE2" s="41"/>
      <c r="BF2" s="41"/>
      <c r="BG2" s="41"/>
      <c r="BH2" s="41"/>
      <c r="BI2" s="41"/>
      <c r="BJ2" s="41"/>
      <c r="BK2" s="41"/>
      <c r="BL2" s="41"/>
      <c r="BM2" s="41"/>
      <c r="BN2" s="41"/>
      <c r="BO2" s="41"/>
      <c r="BP2" s="41"/>
      <c r="BQ2" s="41"/>
      <c r="BR2" s="41"/>
      <c r="BS2" s="41"/>
      <c r="BT2" s="41"/>
      <c r="BU2" s="41"/>
      <c r="BV2" s="41"/>
      <c r="BW2" s="41"/>
      <c r="BX2" s="41"/>
      <c r="BY2" s="41"/>
      <c r="BZ2" s="41"/>
      <c r="CA2" s="41"/>
      <c r="CB2" s="41"/>
      <c r="CC2" s="41"/>
      <c r="CD2" s="41"/>
      <c r="CE2" s="41"/>
      <c r="CF2" s="41"/>
      <c r="CG2" s="41"/>
      <c r="CH2" s="41"/>
      <c r="CI2" s="41"/>
      <c r="CJ2" s="41"/>
      <c r="CK2" s="41"/>
      <c r="CL2" s="41"/>
      <c r="CM2" s="41"/>
      <c r="CN2" s="41"/>
      <c r="CO2" s="41"/>
      <c r="CP2" s="41"/>
      <c r="CQ2" s="41"/>
      <c r="CR2" s="41"/>
      <c r="CS2" s="41"/>
      <c r="CT2" s="41"/>
      <c r="CU2" s="41"/>
      <c r="CV2" s="41"/>
      <c r="CW2" s="41"/>
      <c r="CX2" s="41"/>
      <c r="CY2" s="41"/>
      <c r="CZ2" s="41"/>
      <c r="DA2" s="41"/>
      <c r="DB2" s="41"/>
      <c r="DC2" s="41"/>
      <c r="DD2" s="41"/>
      <c r="DE2" s="41"/>
      <c r="DF2" s="41"/>
      <c r="DG2" s="41"/>
      <c r="DH2" s="41"/>
      <c r="DI2" s="41"/>
      <c r="DJ2" s="41"/>
      <c r="DK2" s="41"/>
      <c r="DL2" s="41"/>
      <c r="DM2" s="41"/>
      <c r="DN2" s="41"/>
      <c r="DO2" s="41"/>
      <c r="DP2" s="41"/>
      <c r="DQ2" s="41"/>
      <c r="DR2" s="41"/>
      <c r="DS2" s="41"/>
      <c r="DT2" s="41"/>
      <c r="DU2" s="41"/>
      <c r="DV2" s="41"/>
      <c r="DW2" s="41"/>
      <c r="DX2" s="41"/>
      <c r="DY2" s="41"/>
      <c r="DZ2" s="41"/>
      <c r="EA2" s="41"/>
      <c r="EB2" s="41"/>
      <c r="EC2" s="41"/>
      <c r="ED2" s="41"/>
      <c r="EE2" s="41"/>
      <c r="EF2" s="41"/>
      <c r="EG2" s="41"/>
      <c r="EH2" s="41"/>
      <c r="EI2" s="41"/>
      <c r="EJ2" s="41"/>
      <c r="EK2" s="41"/>
      <c r="EL2" s="41"/>
      <c r="EM2" s="41"/>
      <c r="EN2" s="41"/>
      <c r="EO2" s="41"/>
      <c r="EP2" s="41"/>
      <c r="EQ2" s="41"/>
      <c r="ER2" s="41"/>
      <c r="ES2" s="41"/>
      <c r="ET2" s="41"/>
      <c r="EU2" s="41"/>
      <c r="EV2" s="41"/>
      <c r="EW2" s="41"/>
      <c r="EX2" s="41"/>
      <c r="EY2" s="41"/>
      <c r="EZ2" s="41"/>
      <c r="FA2" s="41"/>
      <c r="FB2" s="41"/>
      <c r="FC2" s="41"/>
      <c r="FD2" s="41"/>
      <c r="FE2" s="41"/>
      <c r="FF2" s="41"/>
      <c r="FG2" s="41"/>
      <c r="FH2" s="41"/>
      <c r="FI2" s="41"/>
      <c r="FJ2" s="41"/>
      <c r="FK2" s="41"/>
      <c r="FL2" s="41"/>
      <c r="FM2" s="41"/>
      <c r="FN2" s="41"/>
      <c r="FO2" s="41"/>
      <c r="FP2" s="41"/>
      <c r="FQ2" s="41"/>
      <c r="FR2" s="41"/>
      <c r="FS2" s="41"/>
      <c r="FT2" s="41"/>
      <c r="FU2" s="41"/>
      <c r="FV2" s="41"/>
      <c r="FW2" s="41"/>
      <c r="FX2" s="41"/>
      <c r="FY2" s="41"/>
      <c r="FZ2" s="41"/>
      <c r="GA2" s="41"/>
      <c r="GB2" s="41"/>
      <c r="GC2" s="41"/>
      <c r="GD2" s="41"/>
      <c r="GE2" s="41"/>
      <c r="GF2" s="41"/>
      <c r="GG2" s="41"/>
      <c r="GH2" s="41"/>
      <c r="GI2" s="41"/>
      <c r="GJ2" s="41"/>
      <c r="GK2" s="41"/>
      <c r="GL2" s="41"/>
      <c r="GM2" s="41"/>
      <c r="GN2" s="41"/>
      <c r="GO2" s="41"/>
      <c r="GP2" s="41"/>
      <c r="GQ2" s="41"/>
      <c r="GR2" s="41"/>
      <c r="GS2" s="41"/>
      <c r="GT2" s="41"/>
      <c r="GU2" s="41"/>
      <c r="GV2" s="41"/>
      <c r="GW2" s="41"/>
      <c r="GX2" s="41"/>
      <c r="GY2" s="41"/>
      <c r="GZ2" s="41"/>
      <c r="HA2" s="41"/>
      <c r="HB2" s="41"/>
      <c r="HC2" s="41"/>
      <c r="HD2" s="41"/>
      <c r="HE2" s="41"/>
      <c r="HF2" s="41"/>
      <c r="HG2" s="41"/>
      <c r="HH2" s="41"/>
      <c r="HI2" s="41"/>
      <c r="HJ2" s="41"/>
      <c r="HK2" s="41"/>
      <c r="HL2" s="41"/>
      <c r="HM2" s="41"/>
      <c r="HN2" s="41"/>
      <c r="HO2" s="41"/>
      <c r="HP2" s="41"/>
      <c r="HQ2" s="41"/>
      <c r="HR2" s="41"/>
      <c r="HS2" s="41"/>
      <c r="HT2" s="41"/>
      <c r="HU2" s="41"/>
      <c r="HV2" s="41"/>
      <c r="HW2" s="41"/>
      <c r="HX2" s="41"/>
      <c r="HY2" s="41"/>
      <c r="HZ2" s="41"/>
      <c r="IA2" s="41"/>
      <c r="IB2" s="41"/>
      <c r="IC2" s="41"/>
      <c r="ID2" s="41"/>
      <c r="IE2" s="41"/>
      <c r="IF2" s="41"/>
      <c r="IG2" s="41"/>
      <c r="IH2" s="41"/>
      <c r="II2" s="41"/>
      <c r="IJ2" s="41"/>
      <c r="IK2" s="41"/>
      <c r="IL2" s="41"/>
      <c r="IM2" s="41"/>
      <c r="IN2" s="41"/>
      <c r="IO2" s="41"/>
      <c r="IP2" s="41"/>
      <c r="IQ2" s="41"/>
      <c r="IR2" s="41"/>
      <c r="IS2" s="41"/>
      <c r="IT2" s="41"/>
      <c r="IU2" s="41"/>
      <c r="IV2" s="41"/>
      <c r="IW2" s="41"/>
      <c r="IX2" s="41"/>
      <c r="IY2" s="41"/>
      <c r="IZ2" s="41"/>
      <c r="JA2" s="41"/>
      <c r="JB2" s="41"/>
      <c r="JC2" s="41"/>
      <c r="JD2" s="41"/>
      <c r="JE2" s="41"/>
      <c r="JF2" s="41"/>
      <c r="JG2" s="41"/>
      <c r="JH2" s="41"/>
      <c r="JI2" s="41"/>
      <c r="JJ2" s="41"/>
      <c r="JK2" s="41"/>
      <c r="JL2" s="41"/>
      <c r="JM2" s="41"/>
      <c r="JN2" s="41"/>
      <c r="JO2" s="41"/>
      <c r="JP2" s="41"/>
      <c r="JQ2" s="41"/>
      <c r="JR2" s="41"/>
      <c r="JS2" s="41"/>
      <c r="JT2" s="41"/>
      <c r="JU2" s="41"/>
      <c r="JV2" s="41"/>
      <c r="JW2" s="41"/>
      <c r="JX2" s="41"/>
      <c r="JY2" s="3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5"/>
      <c r="KR2" s="5"/>
      <c r="KS2" s="5"/>
      <c r="KT2" s="5"/>
      <c r="KU2" s="6"/>
      <c r="KV2" s="3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5"/>
      <c r="LO2" s="5"/>
      <c r="LP2" s="5"/>
      <c r="LQ2" s="5"/>
      <c r="LR2" s="6"/>
      <c r="LS2" s="3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5"/>
      <c r="ML2" s="5"/>
      <c r="MM2" s="5"/>
      <c r="MN2" s="5"/>
      <c r="MO2" s="6"/>
      <c r="MP2" s="3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5"/>
      <c r="NI2" s="5"/>
      <c r="NJ2" s="5"/>
      <c r="NK2" s="5"/>
      <c r="NL2" s="6"/>
      <c r="NM2" s="3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5"/>
      <c r="OF2" s="5"/>
      <c r="OG2" s="5"/>
      <c r="OH2" s="5"/>
      <c r="OI2" s="6"/>
      <c r="OJ2" s="3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5"/>
      <c r="PC2" s="5"/>
      <c r="PD2" s="5"/>
      <c r="PE2" s="5"/>
      <c r="PF2" s="6"/>
      <c r="PG2" s="3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5"/>
      <c r="PZ2" s="5"/>
      <c r="QA2" s="5"/>
      <c r="QB2" s="5"/>
      <c r="QC2" s="6"/>
      <c r="QD2" s="3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5"/>
      <c r="QW2" s="5"/>
      <c r="QX2" s="5"/>
      <c r="QY2" s="5"/>
      <c r="QZ2" s="6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</row>
    <row r="3" spans="1:540" s="9" customFormat="1" ht="39.950000000000003" customHeight="1" x14ac:dyDescent="0.5">
      <c r="A3" s="44" t="str">
        <f>A2</f>
        <v>PRIME TIME</v>
      </c>
      <c r="B3" s="44">
        <f>B2</f>
        <v>1</v>
      </c>
      <c r="C3" s="44">
        <f>C2</f>
        <v>-1</v>
      </c>
      <c r="D3" s="86" t="s">
        <v>38</v>
      </c>
      <c r="E3" s="90">
        <v>1</v>
      </c>
      <c r="F3" s="90">
        <v>8</v>
      </c>
      <c r="G3" s="90">
        <v>1</v>
      </c>
      <c r="H3" s="90">
        <v>5</v>
      </c>
      <c r="I3" s="90">
        <f t="shared" ref="I3:I7" si="6">E3+G3</f>
        <v>2</v>
      </c>
      <c r="J3" s="90">
        <f t="shared" si="0"/>
        <v>13</v>
      </c>
      <c r="K3" s="90">
        <v>0</v>
      </c>
      <c r="L3" s="90">
        <v>0</v>
      </c>
      <c r="M3" s="90">
        <v>3</v>
      </c>
      <c r="N3" s="90">
        <v>3</v>
      </c>
      <c r="O3" s="90">
        <f t="shared" ref="O3:O7" si="7">E3*2+G3*3+K3</f>
        <v>5</v>
      </c>
      <c r="P3" s="90">
        <f t="shared" ref="P3:P7" si="8">M3+N3</f>
        <v>6</v>
      </c>
      <c r="Q3" s="90">
        <v>0</v>
      </c>
      <c r="R3" s="90">
        <v>0</v>
      </c>
      <c r="S3" s="90">
        <v>2</v>
      </c>
      <c r="T3" s="90">
        <v>0</v>
      </c>
      <c r="U3" s="90">
        <v>1</v>
      </c>
      <c r="V3" s="91">
        <f t="shared" si="1"/>
        <v>0.15384615384615385</v>
      </c>
      <c r="W3" s="91">
        <f t="shared" ref="W3:W8" si="9">IFERROR(O3/(2*(J3+0.44*L3)), 0)</f>
        <v>0.19230769230769232</v>
      </c>
      <c r="X3" s="91">
        <f t="shared" si="2"/>
        <v>0</v>
      </c>
      <c r="Y3" s="91">
        <f t="shared" si="3"/>
        <v>0.125</v>
      </c>
      <c r="Z3" s="91">
        <f t="shared" si="4"/>
        <v>0.2</v>
      </c>
      <c r="AA3" s="92">
        <f t="shared" si="5"/>
        <v>1.2999999999999998</v>
      </c>
      <c r="AB3" s="46" t="str">
        <f>AB2</f>
        <v>PRE</v>
      </c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1"/>
      <c r="CJ3" s="41"/>
      <c r="CK3" s="41"/>
      <c r="CL3" s="41"/>
      <c r="CM3" s="41"/>
      <c r="CN3" s="41"/>
      <c r="CO3" s="41"/>
      <c r="CP3" s="41"/>
      <c r="CQ3" s="41"/>
      <c r="CR3" s="41"/>
      <c r="CS3" s="41"/>
      <c r="CT3" s="41"/>
      <c r="CU3" s="41"/>
      <c r="CV3" s="41"/>
      <c r="CW3" s="41"/>
      <c r="CX3" s="41"/>
      <c r="CY3" s="41"/>
      <c r="CZ3" s="41"/>
      <c r="DA3" s="41"/>
      <c r="DB3" s="41"/>
      <c r="DC3" s="41"/>
      <c r="DD3" s="41"/>
      <c r="DE3" s="41"/>
      <c r="DF3" s="41"/>
      <c r="DG3" s="41"/>
      <c r="DH3" s="41"/>
      <c r="DI3" s="41"/>
      <c r="DJ3" s="41"/>
      <c r="DK3" s="41"/>
      <c r="DL3" s="41"/>
      <c r="DM3" s="41"/>
      <c r="DN3" s="41"/>
      <c r="DO3" s="41"/>
      <c r="DP3" s="41"/>
      <c r="DQ3" s="41"/>
      <c r="DR3" s="41"/>
      <c r="DS3" s="41"/>
      <c r="DT3" s="41"/>
      <c r="DU3" s="41"/>
      <c r="DV3" s="41"/>
      <c r="DW3" s="41"/>
      <c r="DX3" s="41"/>
      <c r="DY3" s="41"/>
      <c r="DZ3" s="41"/>
      <c r="EA3" s="41"/>
      <c r="EB3" s="41"/>
      <c r="EC3" s="41"/>
      <c r="ED3" s="41"/>
      <c r="EE3" s="41"/>
      <c r="EF3" s="41"/>
      <c r="EG3" s="41"/>
      <c r="EH3" s="41"/>
      <c r="EI3" s="41"/>
      <c r="EJ3" s="41"/>
      <c r="EK3" s="41"/>
      <c r="EL3" s="41"/>
      <c r="EM3" s="41"/>
      <c r="EN3" s="41"/>
      <c r="EO3" s="41"/>
      <c r="EP3" s="41"/>
      <c r="EQ3" s="41"/>
      <c r="ER3" s="41"/>
      <c r="ES3" s="41"/>
      <c r="ET3" s="41"/>
      <c r="EU3" s="41"/>
      <c r="EV3" s="41"/>
      <c r="EW3" s="41"/>
      <c r="EX3" s="41"/>
      <c r="EY3" s="41"/>
      <c r="EZ3" s="41"/>
      <c r="FA3" s="41"/>
      <c r="FB3" s="41"/>
      <c r="FC3" s="41"/>
      <c r="FD3" s="41"/>
      <c r="FE3" s="41"/>
      <c r="FF3" s="41"/>
      <c r="FG3" s="41"/>
      <c r="FH3" s="41"/>
      <c r="FI3" s="41"/>
      <c r="FJ3" s="41"/>
      <c r="FK3" s="41"/>
      <c r="FL3" s="41"/>
      <c r="FM3" s="41"/>
      <c r="FN3" s="41"/>
      <c r="FO3" s="41"/>
      <c r="FP3" s="41"/>
      <c r="FQ3" s="41"/>
      <c r="FR3" s="41"/>
      <c r="FS3" s="41"/>
      <c r="FT3" s="41"/>
      <c r="FU3" s="41"/>
      <c r="FV3" s="41"/>
      <c r="FW3" s="41"/>
      <c r="FX3" s="41"/>
      <c r="FY3" s="41"/>
      <c r="FZ3" s="41"/>
      <c r="GA3" s="41"/>
      <c r="GB3" s="41"/>
      <c r="GC3" s="41"/>
      <c r="GD3" s="41"/>
      <c r="GE3" s="41"/>
      <c r="GF3" s="41"/>
      <c r="GG3" s="41"/>
      <c r="GH3" s="41"/>
      <c r="GI3" s="41"/>
      <c r="GJ3" s="41"/>
      <c r="GK3" s="41"/>
      <c r="GL3" s="41"/>
      <c r="GM3" s="41"/>
      <c r="GN3" s="41"/>
      <c r="GO3" s="41"/>
      <c r="GP3" s="41"/>
      <c r="GQ3" s="41"/>
      <c r="GR3" s="41"/>
      <c r="GS3" s="41"/>
      <c r="GT3" s="41"/>
      <c r="GU3" s="41"/>
      <c r="GV3" s="41"/>
      <c r="GW3" s="41"/>
      <c r="GX3" s="41"/>
      <c r="GY3" s="41"/>
      <c r="GZ3" s="41"/>
      <c r="HA3" s="41"/>
      <c r="HB3" s="41"/>
      <c r="HC3" s="41"/>
      <c r="HD3" s="41"/>
      <c r="HE3" s="41"/>
      <c r="HF3" s="41"/>
      <c r="HG3" s="41"/>
      <c r="HH3" s="41"/>
      <c r="HI3" s="41"/>
      <c r="HJ3" s="41"/>
      <c r="HK3" s="41"/>
      <c r="HL3" s="41"/>
      <c r="HM3" s="41"/>
      <c r="HN3" s="41"/>
      <c r="HO3" s="41"/>
      <c r="HP3" s="41"/>
      <c r="HQ3" s="41"/>
      <c r="HR3" s="41"/>
      <c r="HS3" s="41"/>
      <c r="HT3" s="41"/>
      <c r="HU3" s="41"/>
      <c r="HV3" s="41"/>
      <c r="HW3" s="41"/>
      <c r="HX3" s="41"/>
      <c r="HY3" s="41"/>
      <c r="HZ3" s="41"/>
      <c r="IA3" s="41"/>
      <c r="IB3" s="41"/>
      <c r="IC3" s="41"/>
      <c r="ID3" s="41"/>
      <c r="IE3" s="41"/>
      <c r="IF3" s="41"/>
      <c r="IG3" s="41"/>
      <c r="IH3" s="41"/>
      <c r="II3" s="41"/>
      <c r="IJ3" s="41"/>
      <c r="IK3" s="41"/>
      <c r="IL3" s="41"/>
      <c r="IM3" s="41"/>
      <c r="IN3" s="41"/>
      <c r="IO3" s="41"/>
      <c r="IP3" s="41"/>
      <c r="IQ3" s="41"/>
      <c r="IR3" s="41"/>
      <c r="IS3" s="41"/>
      <c r="IT3" s="41"/>
      <c r="IU3" s="41"/>
      <c r="IV3" s="41"/>
      <c r="IW3" s="41"/>
      <c r="IX3" s="41"/>
      <c r="IY3" s="41"/>
      <c r="IZ3" s="41"/>
      <c r="JA3" s="41"/>
      <c r="JB3" s="41"/>
      <c r="JC3" s="41"/>
      <c r="JD3" s="41"/>
      <c r="JE3" s="41"/>
      <c r="JF3" s="41"/>
      <c r="JG3" s="41"/>
      <c r="JH3" s="41"/>
      <c r="JI3" s="41"/>
      <c r="JJ3" s="41"/>
      <c r="JK3" s="41"/>
      <c r="JL3" s="41"/>
      <c r="JM3" s="41"/>
      <c r="JN3" s="41"/>
      <c r="JO3" s="41"/>
      <c r="JP3" s="41"/>
      <c r="JQ3" s="41"/>
      <c r="JR3" s="41"/>
      <c r="JS3" s="41"/>
      <c r="JT3" s="41"/>
      <c r="JU3" s="41"/>
      <c r="JV3" s="41"/>
      <c r="JW3" s="41"/>
      <c r="JX3" s="41"/>
      <c r="JY3" s="3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5"/>
      <c r="KR3" s="5"/>
      <c r="KS3" s="5"/>
      <c r="KT3" s="5"/>
      <c r="KU3" s="6"/>
      <c r="KV3" s="3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5"/>
      <c r="LO3" s="5"/>
      <c r="LP3" s="5"/>
      <c r="LQ3" s="5"/>
      <c r="LR3" s="6"/>
      <c r="LS3" s="3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5"/>
      <c r="ML3" s="5"/>
      <c r="MM3" s="5"/>
      <c r="MN3" s="5"/>
      <c r="MO3" s="6"/>
      <c r="MP3" s="3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5"/>
      <c r="NI3" s="5"/>
      <c r="NJ3" s="5"/>
      <c r="NK3" s="5"/>
      <c r="NL3" s="6"/>
      <c r="NM3" s="3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5"/>
      <c r="OF3" s="5"/>
      <c r="OG3" s="5"/>
      <c r="OH3" s="5"/>
      <c r="OI3" s="6"/>
      <c r="OJ3" s="3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5"/>
      <c r="PC3" s="5"/>
      <c r="PD3" s="5"/>
      <c r="PE3" s="5"/>
      <c r="PF3" s="6"/>
      <c r="PG3" s="3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5"/>
      <c r="PZ3" s="5"/>
      <c r="QA3" s="5"/>
      <c r="QB3" s="5"/>
      <c r="QC3" s="6"/>
      <c r="QD3" s="3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5"/>
      <c r="QW3" s="5"/>
      <c r="QX3" s="5"/>
      <c r="QY3" s="5"/>
      <c r="QZ3" s="6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</row>
    <row r="4" spans="1:540" s="9" customFormat="1" ht="39.950000000000003" customHeight="1" x14ac:dyDescent="0.5">
      <c r="A4" s="44" t="str">
        <f t="shared" ref="A4:C9" si="10">A3</f>
        <v>PRIME TIME</v>
      </c>
      <c r="B4" s="44">
        <f t="shared" si="10"/>
        <v>1</v>
      </c>
      <c r="C4" s="44">
        <f t="shared" si="10"/>
        <v>-1</v>
      </c>
      <c r="D4" s="86" t="s">
        <v>29</v>
      </c>
      <c r="E4" s="93">
        <v>0</v>
      </c>
      <c r="F4" s="93">
        <v>4</v>
      </c>
      <c r="G4" s="93">
        <v>0</v>
      </c>
      <c r="H4" s="93">
        <v>5</v>
      </c>
      <c r="I4" s="93">
        <f t="shared" si="6"/>
        <v>0</v>
      </c>
      <c r="J4" s="93">
        <f t="shared" si="0"/>
        <v>9</v>
      </c>
      <c r="K4" s="93">
        <v>0</v>
      </c>
      <c r="L4" s="93">
        <v>0</v>
      </c>
      <c r="M4" s="93">
        <v>5</v>
      </c>
      <c r="N4" s="93">
        <v>1</v>
      </c>
      <c r="O4" s="93">
        <f t="shared" si="7"/>
        <v>0</v>
      </c>
      <c r="P4" s="93">
        <f t="shared" si="8"/>
        <v>6</v>
      </c>
      <c r="Q4" s="93">
        <v>1</v>
      </c>
      <c r="R4" s="93">
        <v>0</v>
      </c>
      <c r="S4" s="93">
        <v>1</v>
      </c>
      <c r="T4" s="93">
        <v>4</v>
      </c>
      <c r="U4" s="93">
        <v>0</v>
      </c>
      <c r="V4" s="94">
        <f t="shared" si="1"/>
        <v>0</v>
      </c>
      <c r="W4" s="94">
        <f t="shared" si="9"/>
        <v>0</v>
      </c>
      <c r="X4" s="94">
        <f t="shared" si="2"/>
        <v>0</v>
      </c>
      <c r="Y4" s="94">
        <f t="shared" si="3"/>
        <v>0</v>
      </c>
      <c r="Z4" s="94">
        <f t="shared" si="4"/>
        <v>0</v>
      </c>
      <c r="AA4" s="95">
        <f t="shared" si="5"/>
        <v>-4.8</v>
      </c>
      <c r="AB4" s="46" t="str">
        <f t="shared" ref="AB4:AB9" si="11">AB3</f>
        <v>PRE</v>
      </c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  <c r="EA4" s="41"/>
      <c r="EB4" s="41"/>
      <c r="EC4" s="41"/>
      <c r="ED4" s="41"/>
      <c r="EE4" s="41"/>
      <c r="EF4" s="41"/>
      <c r="EG4" s="41"/>
      <c r="EH4" s="41"/>
      <c r="EI4" s="41"/>
      <c r="EJ4" s="41"/>
      <c r="EK4" s="41"/>
      <c r="EL4" s="41"/>
      <c r="EM4" s="41"/>
      <c r="EN4" s="41"/>
      <c r="EO4" s="41"/>
      <c r="EP4" s="41"/>
      <c r="EQ4" s="41"/>
      <c r="ER4" s="41"/>
      <c r="ES4" s="41"/>
      <c r="ET4" s="41"/>
      <c r="EU4" s="41"/>
      <c r="EV4" s="41"/>
      <c r="EW4" s="41"/>
      <c r="EX4" s="41"/>
      <c r="EY4" s="41"/>
      <c r="EZ4" s="41"/>
      <c r="FA4" s="41"/>
      <c r="FB4" s="41"/>
      <c r="FC4" s="41"/>
      <c r="FD4" s="41"/>
      <c r="FE4" s="41"/>
      <c r="FF4" s="41"/>
      <c r="FG4" s="41"/>
      <c r="FH4" s="41"/>
      <c r="FI4" s="41"/>
      <c r="FJ4" s="41"/>
      <c r="FK4" s="41"/>
      <c r="FL4" s="41"/>
      <c r="FM4" s="41"/>
      <c r="FN4" s="41"/>
      <c r="FO4" s="41"/>
      <c r="FP4" s="41"/>
      <c r="FQ4" s="41"/>
      <c r="FR4" s="41"/>
      <c r="FS4" s="41"/>
      <c r="FT4" s="41"/>
      <c r="FU4" s="41"/>
      <c r="FV4" s="41"/>
      <c r="FW4" s="41"/>
      <c r="FX4" s="41"/>
      <c r="FY4" s="41"/>
      <c r="FZ4" s="41"/>
      <c r="GA4" s="41"/>
      <c r="GB4" s="41"/>
      <c r="GC4" s="41"/>
      <c r="GD4" s="41"/>
      <c r="GE4" s="41"/>
      <c r="GF4" s="41"/>
      <c r="GG4" s="41"/>
      <c r="GH4" s="41"/>
      <c r="GI4" s="41"/>
      <c r="GJ4" s="41"/>
      <c r="GK4" s="41"/>
      <c r="GL4" s="41"/>
      <c r="GM4" s="41"/>
      <c r="GN4" s="41"/>
      <c r="GO4" s="41"/>
      <c r="GP4" s="41"/>
      <c r="GQ4" s="41"/>
      <c r="GR4" s="41"/>
      <c r="GS4" s="41"/>
      <c r="GT4" s="41"/>
      <c r="GU4" s="41"/>
      <c r="GV4" s="41"/>
      <c r="GW4" s="41"/>
      <c r="GX4" s="41"/>
      <c r="GY4" s="41"/>
      <c r="GZ4" s="41"/>
      <c r="HA4" s="41"/>
      <c r="HB4" s="41"/>
      <c r="HC4" s="41"/>
      <c r="HD4" s="41"/>
      <c r="HE4" s="41"/>
      <c r="HF4" s="41"/>
      <c r="HG4" s="41"/>
      <c r="HH4" s="41"/>
      <c r="HI4" s="41"/>
      <c r="HJ4" s="41"/>
      <c r="HK4" s="41"/>
      <c r="HL4" s="41"/>
      <c r="HM4" s="41"/>
      <c r="HN4" s="41"/>
      <c r="HO4" s="41"/>
      <c r="HP4" s="41"/>
      <c r="HQ4" s="41"/>
      <c r="HR4" s="41"/>
      <c r="HS4" s="41"/>
      <c r="HT4" s="41"/>
      <c r="HU4" s="41"/>
      <c r="HV4" s="41"/>
      <c r="HW4" s="41"/>
      <c r="HX4" s="41"/>
      <c r="HY4" s="41"/>
      <c r="HZ4" s="41"/>
      <c r="IA4" s="41"/>
      <c r="IB4" s="41"/>
      <c r="IC4" s="41"/>
      <c r="ID4" s="41"/>
      <c r="IE4" s="41"/>
      <c r="IF4" s="41"/>
      <c r="IG4" s="41"/>
      <c r="IH4" s="41"/>
      <c r="II4" s="41"/>
      <c r="IJ4" s="41"/>
      <c r="IK4" s="41"/>
      <c r="IL4" s="41"/>
      <c r="IM4" s="41"/>
      <c r="IN4" s="41"/>
      <c r="IO4" s="41"/>
      <c r="IP4" s="41"/>
      <c r="IQ4" s="41"/>
      <c r="IR4" s="41"/>
      <c r="IS4" s="41"/>
      <c r="IT4" s="41"/>
      <c r="IU4" s="41"/>
      <c r="IV4" s="41"/>
      <c r="IW4" s="41"/>
      <c r="IX4" s="41"/>
      <c r="IY4" s="41"/>
      <c r="IZ4" s="41"/>
      <c r="JA4" s="41"/>
      <c r="JB4" s="41"/>
      <c r="JC4" s="41"/>
      <c r="JD4" s="41"/>
      <c r="JE4" s="41"/>
      <c r="JF4" s="41"/>
      <c r="JG4" s="41"/>
      <c r="JH4" s="41"/>
      <c r="JI4" s="41"/>
      <c r="JJ4" s="41"/>
      <c r="JK4" s="41"/>
      <c r="JL4" s="41"/>
      <c r="JM4" s="41"/>
      <c r="JN4" s="41"/>
      <c r="JO4" s="41"/>
      <c r="JP4" s="41"/>
      <c r="JQ4" s="41"/>
      <c r="JR4" s="41"/>
      <c r="JS4" s="41"/>
      <c r="JT4" s="41"/>
      <c r="JU4" s="41"/>
      <c r="JV4" s="41"/>
      <c r="JW4" s="41"/>
      <c r="JX4" s="41"/>
      <c r="JY4" s="3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5"/>
      <c r="KR4" s="5"/>
      <c r="KS4" s="5"/>
      <c r="KT4" s="5"/>
      <c r="KU4" s="6"/>
      <c r="KV4" s="3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5"/>
      <c r="LO4" s="5"/>
      <c r="LP4" s="5"/>
      <c r="LQ4" s="5"/>
      <c r="LR4" s="6"/>
      <c r="LS4" s="3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5"/>
      <c r="ML4" s="5"/>
      <c r="MM4" s="5"/>
      <c r="MN4" s="5"/>
      <c r="MO4" s="6"/>
      <c r="MP4" s="3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5"/>
      <c r="NI4" s="5"/>
      <c r="NJ4" s="5"/>
      <c r="NK4" s="5"/>
      <c r="NL4" s="6"/>
      <c r="NM4" s="3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5"/>
      <c r="OF4" s="5"/>
      <c r="OG4" s="5"/>
      <c r="OH4" s="5"/>
      <c r="OI4" s="6"/>
      <c r="OJ4" s="3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5"/>
      <c r="PC4" s="5"/>
      <c r="PD4" s="5"/>
      <c r="PE4" s="5"/>
      <c r="PF4" s="6"/>
      <c r="PG4" s="3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5"/>
      <c r="PZ4" s="5"/>
      <c r="QA4" s="5"/>
      <c r="QB4" s="5"/>
      <c r="QC4" s="6"/>
      <c r="QD4" s="3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5"/>
      <c r="QW4" s="5"/>
      <c r="QX4" s="5"/>
      <c r="QY4" s="5"/>
      <c r="QZ4" s="6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</row>
    <row r="5" spans="1:540" s="9" customFormat="1" ht="39.950000000000003" customHeight="1" x14ac:dyDescent="0.5">
      <c r="A5" s="44" t="str">
        <f t="shared" si="10"/>
        <v>PRIME TIME</v>
      </c>
      <c r="B5" s="44">
        <f t="shared" si="10"/>
        <v>1</v>
      </c>
      <c r="C5" s="44">
        <f t="shared" si="10"/>
        <v>-1</v>
      </c>
      <c r="D5" s="86" t="s">
        <v>30</v>
      </c>
      <c r="E5" s="96">
        <v>4</v>
      </c>
      <c r="F5" s="96">
        <v>5</v>
      </c>
      <c r="G5" s="96">
        <v>2</v>
      </c>
      <c r="H5" s="96">
        <v>9</v>
      </c>
      <c r="I5" s="96">
        <f t="shared" si="6"/>
        <v>6</v>
      </c>
      <c r="J5" s="96">
        <f t="shared" si="0"/>
        <v>14</v>
      </c>
      <c r="K5" s="96">
        <v>0</v>
      </c>
      <c r="L5" s="96">
        <v>1</v>
      </c>
      <c r="M5" s="96">
        <v>2</v>
      </c>
      <c r="N5" s="96">
        <v>10</v>
      </c>
      <c r="O5" s="96">
        <f t="shared" si="7"/>
        <v>14</v>
      </c>
      <c r="P5" s="96">
        <f t="shared" si="8"/>
        <v>12</v>
      </c>
      <c r="Q5" s="96">
        <v>3</v>
      </c>
      <c r="R5" s="96">
        <v>0</v>
      </c>
      <c r="S5" s="96">
        <v>1</v>
      </c>
      <c r="T5" s="96">
        <v>1</v>
      </c>
      <c r="U5" s="96">
        <v>0</v>
      </c>
      <c r="V5" s="97">
        <f t="shared" si="1"/>
        <v>0.42857142857142855</v>
      </c>
      <c r="W5" s="97">
        <f t="shared" si="9"/>
        <v>0.48476454293628812</v>
      </c>
      <c r="X5" s="97">
        <f t="shared" si="2"/>
        <v>0</v>
      </c>
      <c r="Y5" s="97">
        <f t="shared" si="3"/>
        <v>0.8</v>
      </c>
      <c r="Z5" s="97">
        <f t="shared" si="4"/>
        <v>0.22222222222222221</v>
      </c>
      <c r="AA5" s="98">
        <f t="shared" si="5"/>
        <v>12.7</v>
      </c>
      <c r="AB5" s="46" t="str">
        <f t="shared" si="11"/>
        <v>PRE</v>
      </c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/>
      <c r="CO5" s="41"/>
      <c r="CP5" s="41"/>
      <c r="CQ5" s="41"/>
      <c r="CR5" s="41"/>
      <c r="CS5" s="41"/>
      <c r="CT5" s="41"/>
      <c r="CU5" s="41"/>
      <c r="CV5" s="41"/>
      <c r="CW5" s="41"/>
      <c r="CX5" s="41"/>
      <c r="CY5" s="41"/>
      <c r="CZ5" s="41"/>
      <c r="DA5" s="41"/>
      <c r="DB5" s="41"/>
      <c r="DC5" s="41"/>
      <c r="DD5" s="41"/>
      <c r="DE5" s="41"/>
      <c r="DF5" s="41"/>
      <c r="DG5" s="41"/>
      <c r="DH5" s="41"/>
      <c r="DI5" s="41"/>
      <c r="DJ5" s="41"/>
      <c r="DK5" s="41"/>
      <c r="DL5" s="41"/>
      <c r="DM5" s="41"/>
      <c r="DN5" s="41"/>
      <c r="DO5" s="41"/>
      <c r="DP5" s="41"/>
      <c r="DQ5" s="41"/>
      <c r="DR5" s="41"/>
      <c r="DS5" s="41"/>
      <c r="DT5" s="41"/>
      <c r="DU5" s="41"/>
      <c r="DV5" s="41"/>
      <c r="DW5" s="41"/>
      <c r="DX5" s="41"/>
      <c r="DY5" s="41"/>
      <c r="DZ5" s="41"/>
      <c r="EA5" s="41"/>
      <c r="EB5" s="41"/>
      <c r="EC5" s="41"/>
      <c r="ED5" s="41"/>
      <c r="EE5" s="41"/>
      <c r="EF5" s="41"/>
      <c r="EG5" s="41"/>
      <c r="EH5" s="41"/>
      <c r="EI5" s="41"/>
      <c r="EJ5" s="41"/>
      <c r="EK5" s="41"/>
      <c r="EL5" s="41"/>
      <c r="EM5" s="41"/>
      <c r="EN5" s="41"/>
      <c r="EO5" s="41"/>
      <c r="EP5" s="41"/>
      <c r="EQ5" s="41"/>
      <c r="ER5" s="41"/>
      <c r="ES5" s="41"/>
      <c r="ET5" s="41"/>
      <c r="EU5" s="41"/>
      <c r="EV5" s="41"/>
      <c r="EW5" s="41"/>
      <c r="EX5" s="41"/>
      <c r="EY5" s="41"/>
      <c r="EZ5" s="41"/>
      <c r="FA5" s="41"/>
      <c r="FB5" s="41"/>
      <c r="FC5" s="41"/>
      <c r="FD5" s="41"/>
      <c r="FE5" s="41"/>
      <c r="FF5" s="41"/>
      <c r="FG5" s="41"/>
      <c r="FH5" s="41"/>
      <c r="FI5" s="41"/>
      <c r="FJ5" s="41"/>
      <c r="FK5" s="41"/>
      <c r="FL5" s="41"/>
      <c r="FM5" s="41"/>
      <c r="FN5" s="41"/>
      <c r="FO5" s="41"/>
      <c r="FP5" s="41"/>
      <c r="FQ5" s="41"/>
      <c r="FR5" s="41"/>
      <c r="FS5" s="41"/>
      <c r="FT5" s="41"/>
      <c r="FU5" s="41"/>
      <c r="FV5" s="41"/>
      <c r="FW5" s="41"/>
      <c r="FX5" s="41"/>
      <c r="FY5" s="41"/>
      <c r="FZ5" s="41"/>
      <c r="GA5" s="41"/>
      <c r="GB5" s="41"/>
      <c r="GC5" s="41"/>
      <c r="GD5" s="41"/>
      <c r="GE5" s="41"/>
      <c r="GF5" s="41"/>
      <c r="GG5" s="41"/>
      <c r="GH5" s="41"/>
      <c r="GI5" s="41"/>
      <c r="GJ5" s="41"/>
      <c r="GK5" s="41"/>
      <c r="GL5" s="41"/>
      <c r="GM5" s="41"/>
      <c r="GN5" s="41"/>
      <c r="GO5" s="41"/>
      <c r="GP5" s="41"/>
      <c r="GQ5" s="41"/>
      <c r="GR5" s="41"/>
      <c r="GS5" s="41"/>
      <c r="GT5" s="41"/>
      <c r="GU5" s="41"/>
      <c r="GV5" s="41"/>
      <c r="GW5" s="41"/>
      <c r="GX5" s="41"/>
      <c r="GY5" s="41"/>
      <c r="GZ5" s="41"/>
      <c r="HA5" s="41"/>
      <c r="HB5" s="41"/>
      <c r="HC5" s="41"/>
      <c r="HD5" s="41"/>
      <c r="HE5" s="41"/>
      <c r="HF5" s="41"/>
      <c r="HG5" s="41"/>
      <c r="HH5" s="41"/>
      <c r="HI5" s="41"/>
      <c r="HJ5" s="41"/>
      <c r="HK5" s="41"/>
      <c r="HL5" s="41"/>
      <c r="HM5" s="41"/>
      <c r="HN5" s="41"/>
      <c r="HO5" s="41"/>
      <c r="HP5" s="41"/>
      <c r="HQ5" s="41"/>
      <c r="HR5" s="41"/>
      <c r="HS5" s="41"/>
      <c r="HT5" s="41"/>
      <c r="HU5" s="41"/>
      <c r="HV5" s="41"/>
      <c r="HW5" s="41"/>
      <c r="HX5" s="41"/>
      <c r="HY5" s="41"/>
      <c r="HZ5" s="41"/>
      <c r="IA5" s="41"/>
      <c r="IB5" s="41"/>
      <c r="IC5" s="41"/>
      <c r="ID5" s="41"/>
      <c r="IE5" s="41"/>
      <c r="IF5" s="41"/>
      <c r="IG5" s="41"/>
      <c r="IH5" s="41"/>
      <c r="II5" s="41"/>
      <c r="IJ5" s="41"/>
      <c r="IK5" s="41"/>
      <c r="IL5" s="41"/>
      <c r="IM5" s="41"/>
      <c r="IN5" s="41"/>
      <c r="IO5" s="41"/>
      <c r="IP5" s="41"/>
      <c r="IQ5" s="41"/>
      <c r="IR5" s="41"/>
      <c r="IS5" s="41"/>
      <c r="IT5" s="41"/>
      <c r="IU5" s="41"/>
      <c r="IV5" s="41"/>
      <c r="IW5" s="41"/>
      <c r="IX5" s="41"/>
      <c r="IY5" s="41"/>
      <c r="IZ5" s="41"/>
      <c r="JA5" s="41"/>
      <c r="JB5" s="41"/>
      <c r="JC5" s="41"/>
      <c r="JD5" s="41"/>
      <c r="JE5" s="41"/>
      <c r="JF5" s="41"/>
      <c r="JG5" s="41"/>
      <c r="JH5" s="41"/>
      <c r="JI5" s="41"/>
      <c r="JJ5" s="41"/>
      <c r="JK5" s="41"/>
      <c r="JL5" s="41"/>
      <c r="JM5" s="41"/>
      <c r="JN5" s="41"/>
      <c r="JO5" s="41"/>
      <c r="JP5" s="41"/>
      <c r="JQ5" s="41"/>
      <c r="JR5" s="41"/>
      <c r="JS5" s="41"/>
      <c r="JT5" s="41"/>
      <c r="JU5" s="41"/>
      <c r="JV5" s="41"/>
      <c r="JW5" s="41"/>
      <c r="JX5" s="41"/>
      <c r="JY5" s="3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5"/>
      <c r="KR5" s="5"/>
      <c r="KS5" s="5"/>
      <c r="KT5" s="5"/>
      <c r="KU5" s="6"/>
      <c r="KV5" s="3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5"/>
      <c r="LO5" s="5"/>
      <c r="LP5" s="5"/>
      <c r="LQ5" s="5"/>
      <c r="LR5" s="6"/>
      <c r="LS5" s="3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5"/>
      <c r="ML5" s="5"/>
      <c r="MM5" s="5"/>
      <c r="MN5" s="5"/>
      <c r="MO5" s="6"/>
      <c r="MP5" s="3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5"/>
      <c r="NI5" s="5"/>
      <c r="NJ5" s="5"/>
      <c r="NK5" s="5"/>
      <c r="NL5" s="6"/>
      <c r="NM5" s="3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5"/>
      <c r="OF5" s="5"/>
      <c r="OG5" s="5"/>
      <c r="OH5" s="5"/>
      <c r="OI5" s="6"/>
      <c r="OJ5" s="3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5"/>
      <c r="PC5" s="5"/>
      <c r="PD5" s="5"/>
      <c r="PE5" s="5"/>
      <c r="PF5" s="6"/>
      <c r="PG5" s="3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5"/>
      <c r="PZ5" s="5"/>
      <c r="QA5" s="5"/>
      <c r="QB5" s="5"/>
      <c r="QC5" s="6"/>
      <c r="QD5" s="3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5"/>
      <c r="QW5" s="5"/>
      <c r="QX5" s="5"/>
      <c r="QY5" s="5"/>
      <c r="QZ5" s="6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</row>
    <row r="6" spans="1:540" s="9" customFormat="1" ht="39.950000000000003" customHeight="1" x14ac:dyDescent="0.5">
      <c r="A6" s="44" t="str">
        <f t="shared" si="10"/>
        <v>PRIME TIME</v>
      </c>
      <c r="B6" s="44">
        <f t="shared" si="10"/>
        <v>1</v>
      </c>
      <c r="C6" s="44">
        <f t="shared" si="10"/>
        <v>-1</v>
      </c>
      <c r="D6" s="86" t="s">
        <v>34</v>
      </c>
      <c r="E6" s="99">
        <v>0</v>
      </c>
      <c r="F6" s="99">
        <v>1</v>
      </c>
      <c r="G6" s="99">
        <v>0</v>
      </c>
      <c r="H6" s="99">
        <v>4</v>
      </c>
      <c r="I6" s="99">
        <f t="shared" si="6"/>
        <v>0</v>
      </c>
      <c r="J6" s="99">
        <f t="shared" si="0"/>
        <v>5</v>
      </c>
      <c r="K6" s="99">
        <v>0</v>
      </c>
      <c r="L6" s="99">
        <v>0</v>
      </c>
      <c r="M6" s="99">
        <v>1</v>
      </c>
      <c r="N6" s="99">
        <v>2</v>
      </c>
      <c r="O6" s="99">
        <f t="shared" si="7"/>
        <v>0</v>
      </c>
      <c r="P6" s="99">
        <f t="shared" si="8"/>
        <v>3</v>
      </c>
      <c r="Q6" s="99">
        <v>0</v>
      </c>
      <c r="R6" s="99">
        <v>0</v>
      </c>
      <c r="S6" s="99">
        <v>0</v>
      </c>
      <c r="T6" s="99">
        <v>1</v>
      </c>
      <c r="U6" s="99">
        <v>1</v>
      </c>
      <c r="V6" s="100">
        <f t="shared" si="1"/>
        <v>0</v>
      </c>
      <c r="W6" s="100">
        <f t="shared" si="9"/>
        <v>0</v>
      </c>
      <c r="X6" s="100">
        <f t="shared" si="2"/>
        <v>0</v>
      </c>
      <c r="Y6" s="100">
        <f t="shared" si="3"/>
        <v>0</v>
      </c>
      <c r="Z6" s="100">
        <f t="shared" si="4"/>
        <v>0</v>
      </c>
      <c r="AA6" s="101">
        <f t="shared" si="5"/>
        <v>-3.5999999999999996</v>
      </c>
      <c r="AB6" s="46" t="str">
        <f t="shared" si="11"/>
        <v>PRE</v>
      </c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1"/>
      <c r="CP6" s="41"/>
      <c r="CQ6" s="41"/>
      <c r="CR6" s="41"/>
      <c r="CS6" s="41"/>
      <c r="CT6" s="41"/>
      <c r="CU6" s="41"/>
      <c r="CV6" s="41"/>
      <c r="CW6" s="41"/>
      <c r="CX6" s="41"/>
      <c r="CY6" s="41"/>
      <c r="CZ6" s="41"/>
      <c r="DA6" s="41"/>
      <c r="DB6" s="41"/>
      <c r="DC6" s="41"/>
      <c r="DD6" s="41"/>
      <c r="DE6" s="41"/>
      <c r="DF6" s="41"/>
      <c r="DG6" s="41"/>
      <c r="DH6" s="41"/>
      <c r="DI6" s="41"/>
      <c r="DJ6" s="41"/>
      <c r="DK6" s="41"/>
      <c r="DL6" s="41"/>
      <c r="DM6" s="41"/>
      <c r="DN6" s="41"/>
      <c r="DO6" s="41"/>
      <c r="DP6" s="41"/>
      <c r="DQ6" s="41"/>
      <c r="DR6" s="41"/>
      <c r="DS6" s="41"/>
      <c r="DT6" s="41"/>
      <c r="DU6" s="41"/>
      <c r="DV6" s="41"/>
      <c r="DW6" s="41"/>
      <c r="DX6" s="41"/>
      <c r="DY6" s="41"/>
      <c r="DZ6" s="41"/>
      <c r="EA6" s="41"/>
      <c r="EB6" s="41"/>
      <c r="EC6" s="41"/>
      <c r="ED6" s="41"/>
      <c r="EE6" s="41"/>
      <c r="EF6" s="41"/>
      <c r="EG6" s="41"/>
      <c r="EH6" s="41"/>
      <c r="EI6" s="41"/>
      <c r="EJ6" s="41"/>
      <c r="EK6" s="41"/>
      <c r="EL6" s="41"/>
      <c r="EM6" s="41"/>
      <c r="EN6" s="41"/>
      <c r="EO6" s="41"/>
      <c r="EP6" s="41"/>
      <c r="EQ6" s="41"/>
      <c r="ER6" s="41"/>
      <c r="ES6" s="41"/>
      <c r="ET6" s="41"/>
      <c r="EU6" s="41"/>
      <c r="EV6" s="41"/>
      <c r="EW6" s="41"/>
      <c r="EX6" s="41"/>
      <c r="EY6" s="41"/>
      <c r="EZ6" s="41"/>
      <c r="FA6" s="41"/>
      <c r="FB6" s="41"/>
      <c r="FC6" s="41"/>
      <c r="FD6" s="41"/>
      <c r="FE6" s="41"/>
      <c r="FF6" s="41"/>
      <c r="FG6" s="41"/>
      <c r="FH6" s="41"/>
      <c r="FI6" s="41"/>
      <c r="FJ6" s="41"/>
      <c r="FK6" s="41"/>
      <c r="FL6" s="41"/>
      <c r="FM6" s="41"/>
      <c r="FN6" s="41"/>
      <c r="FO6" s="41"/>
      <c r="FP6" s="41"/>
      <c r="FQ6" s="41"/>
      <c r="FR6" s="41"/>
      <c r="FS6" s="41"/>
      <c r="FT6" s="41"/>
      <c r="FU6" s="41"/>
      <c r="FV6" s="41"/>
      <c r="FW6" s="41"/>
      <c r="FX6" s="41"/>
      <c r="FY6" s="41"/>
      <c r="FZ6" s="41"/>
      <c r="GA6" s="41"/>
      <c r="GB6" s="41"/>
      <c r="GC6" s="41"/>
      <c r="GD6" s="41"/>
      <c r="GE6" s="41"/>
      <c r="GF6" s="41"/>
      <c r="GG6" s="41"/>
      <c r="GH6" s="41"/>
      <c r="GI6" s="41"/>
      <c r="GJ6" s="41"/>
      <c r="GK6" s="41"/>
      <c r="GL6" s="41"/>
      <c r="GM6" s="41"/>
      <c r="GN6" s="41"/>
      <c r="GO6" s="41"/>
      <c r="GP6" s="41"/>
      <c r="GQ6" s="41"/>
      <c r="GR6" s="41"/>
      <c r="GS6" s="41"/>
      <c r="GT6" s="41"/>
      <c r="GU6" s="41"/>
      <c r="GV6" s="41"/>
      <c r="GW6" s="41"/>
      <c r="GX6" s="41"/>
      <c r="GY6" s="41"/>
      <c r="GZ6" s="41"/>
      <c r="HA6" s="41"/>
      <c r="HB6" s="41"/>
      <c r="HC6" s="41"/>
      <c r="HD6" s="41"/>
      <c r="HE6" s="41"/>
      <c r="HF6" s="41"/>
      <c r="HG6" s="41"/>
      <c r="HH6" s="41"/>
      <c r="HI6" s="41"/>
      <c r="HJ6" s="41"/>
      <c r="HK6" s="41"/>
      <c r="HL6" s="41"/>
      <c r="HM6" s="41"/>
      <c r="HN6" s="41"/>
      <c r="HO6" s="41"/>
      <c r="HP6" s="41"/>
      <c r="HQ6" s="41"/>
      <c r="HR6" s="41"/>
      <c r="HS6" s="41"/>
      <c r="HT6" s="41"/>
      <c r="HU6" s="41"/>
      <c r="HV6" s="41"/>
      <c r="HW6" s="41"/>
      <c r="HX6" s="41"/>
      <c r="HY6" s="41"/>
      <c r="HZ6" s="41"/>
      <c r="IA6" s="41"/>
      <c r="IB6" s="41"/>
      <c r="IC6" s="41"/>
      <c r="ID6" s="41"/>
      <c r="IE6" s="41"/>
      <c r="IF6" s="41"/>
      <c r="IG6" s="41"/>
      <c r="IH6" s="41"/>
      <c r="II6" s="41"/>
      <c r="IJ6" s="41"/>
      <c r="IK6" s="41"/>
      <c r="IL6" s="41"/>
      <c r="IM6" s="41"/>
      <c r="IN6" s="41"/>
      <c r="IO6" s="41"/>
      <c r="IP6" s="41"/>
      <c r="IQ6" s="41"/>
      <c r="IR6" s="41"/>
      <c r="IS6" s="41"/>
      <c r="IT6" s="41"/>
      <c r="IU6" s="41"/>
      <c r="IV6" s="41"/>
      <c r="IW6" s="41"/>
      <c r="IX6" s="41"/>
      <c r="IY6" s="41"/>
      <c r="IZ6" s="41"/>
      <c r="JA6" s="41"/>
      <c r="JB6" s="41"/>
      <c r="JC6" s="41"/>
      <c r="JD6" s="41"/>
      <c r="JE6" s="41"/>
      <c r="JF6" s="41"/>
      <c r="JG6" s="41"/>
      <c r="JH6" s="41"/>
      <c r="JI6" s="41"/>
      <c r="JJ6" s="41"/>
      <c r="JK6" s="41"/>
      <c r="JL6" s="41"/>
      <c r="JM6" s="41"/>
      <c r="JN6" s="41"/>
      <c r="JO6" s="41"/>
      <c r="JP6" s="41"/>
      <c r="JQ6" s="41"/>
      <c r="JR6" s="41"/>
      <c r="JS6" s="41"/>
      <c r="JT6" s="41"/>
      <c r="JU6" s="41"/>
      <c r="JV6" s="41"/>
      <c r="JW6" s="41"/>
      <c r="JX6" s="41"/>
      <c r="JY6" s="3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5"/>
      <c r="KR6" s="5"/>
      <c r="KS6" s="5"/>
      <c r="KT6" s="5"/>
      <c r="KU6" s="6"/>
      <c r="KV6" s="3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5"/>
      <c r="LO6" s="5"/>
      <c r="LP6" s="5"/>
      <c r="LQ6" s="5"/>
      <c r="LR6" s="6"/>
      <c r="LS6" s="3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5"/>
      <c r="ML6" s="5"/>
      <c r="MM6" s="5"/>
      <c r="MN6" s="5"/>
      <c r="MO6" s="6"/>
      <c r="MP6" s="3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5"/>
      <c r="NI6" s="5"/>
      <c r="NJ6" s="5"/>
      <c r="NK6" s="5"/>
      <c r="NL6" s="6"/>
      <c r="NM6" s="3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5"/>
      <c r="OF6" s="5"/>
      <c r="OG6" s="5"/>
      <c r="OH6" s="5"/>
      <c r="OI6" s="6"/>
      <c r="OJ6" s="3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5"/>
      <c r="PC6" s="5"/>
      <c r="PD6" s="5"/>
      <c r="PE6" s="5"/>
      <c r="PF6" s="6"/>
      <c r="PG6" s="3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5"/>
      <c r="PZ6" s="5"/>
      <c r="QA6" s="5"/>
      <c r="QB6" s="5"/>
      <c r="QC6" s="6"/>
      <c r="QD6" s="3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5"/>
      <c r="QW6" s="5"/>
      <c r="QX6" s="5"/>
      <c r="QY6" s="5"/>
      <c r="QZ6" s="6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</row>
    <row r="7" spans="1:540" s="42" customFormat="1" ht="39.950000000000003" customHeight="1" x14ac:dyDescent="0.5">
      <c r="A7" s="44" t="str">
        <f t="shared" ref="A7:C8" si="12">A5</f>
        <v>PRIME TIME</v>
      </c>
      <c r="B7" s="44">
        <f t="shared" si="12"/>
        <v>1</v>
      </c>
      <c r="C7" s="44">
        <f t="shared" si="12"/>
        <v>-1</v>
      </c>
      <c r="D7" s="86" t="s">
        <v>39</v>
      </c>
      <c r="E7" s="102">
        <v>1</v>
      </c>
      <c r="F7" s="102">
        <v>6</v>
      </c>
      <c r="G7" s="102">
        <v>2</v>
      </c>
      <c r="H7" s="102">
        <v>7</v>
      </c>
      <c r="I7" s="102">
        <f t="shared" si="6"/>
        <v>3</v>
      </c>
      <c r="J7" s="102">
        <f t="shared" si="0"/>
        <v>13</v>
      </c>
      <c r="K7" s="102">
        <v>0</v>
      </c>
      <c r="L7" s="102">
        <v>0</v>
      </c>
      <c r="M7" s="102">
        <v>1</v>
      </c>
      <c r="N7" s="102">
        <v>4</v>
      </c>
      <c r="O7" s="102">
        <f t="shared" si="7"/>
        <v>8</v>
      </c>
      <c r="P7" s="102">
        <f t="shared" si="8"/>
        <v>5</v>
      </c>
      <c r="Q7" s="102">
        <v>1</v>
      </c>
      <c r="R7" s="102">
        <v>0</v>
      </c>
      <c r="S7" s="102">
        <v>3</v>
      </c>
      <c r="T7" s="102">
        <v>1</v>
      </c>
      <c r="U7" s="102">
        <v>0</v>
      </c>
      <c r="V7" s="103">
        <f t="shared" si="1"/>
        <v>0.23076923076923078</v>
      </c>
      <c r="W7" s="103">
        <f t="shared" si="9"/>
        <v>0.30769230769230771</v>
      </c>
      <c r="X7" s="103">
        <f t="shared" si="2"/>
        <v>0</v>
      </c>
      <c r="Y7" s="103">
        <f t="shared" si="3"/>
        <v>0.16666666666666666</v>
      </c>
      <c r="Z7" s="103">
        <f t="shared" si="4"/>
        <v>0.2857142857142857</v>
      </c>
      <c r="AA7" s="104">
        <f t="shared" si="5"/>
        <v>4.7</v>
      </c>
      <c r="AB7" s="46" t="str">
        <f>AB6</f>
        <v>PRE</v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26"/>
      <c r="JZ7" s="24"/>
      <c r="KA7" s="24"/>
      <c r="KB7" s="24"/>
      <c r="KC7" s="24"/>
      <c r="KD7" s="24"/>
      <c r="KE7" s="24"/>
      <c r="KF7" s="24"/>
      <c r="KG7" s="24"/>
      <c r="KH7" s="24"/>
      <c r="KI7" s="24"/>
      <c r="KJ7" s="24"/>
      <c r="KK7" s="24"/>
      <c r="KL7" s="24"/>
      <c r="KM7" s="24"/>
      <c r="KN7" s="24"/>
      <c r="KO7" s="24"/>
      <c r="KP7" s="24"/>
      <c r="KQ7" s="22"/>
      <c r="KR7" s="22"/>
      <c r="KS7" s="22"/>
      <c r="KT7" s="22"/>
      <c r="KU7" s="23"/>
      <c r="KV7" s="26"/>
      <c r="KW7" s="24"/>
      <c r="KX7" s="24"/>
      <c r="KY7" s="24"/>
      <c r="KZ7" s="24"/>
      <c r="LA7" s="24"/>
      <c r="LB7" s="24"/>
      <c r="LC7" s="24"/>
      <c r="LD7" s="24"/>
      <c r="LE7" s="24"/>
      <c r="LF7" s="24"/>
      <c r="LG7" s="24"/>
      <c r="LH7" s="24"/>
      <c r="LI7" s="24"/>
      <c r="LJ7" s="24"/>
      <c r="LK7" s="24"/>
      <c r="LL7" s="24"/>
      <c r="LM7" s="24"/>
      <c r="LN7" s="22"/>
      <c r="LO7" s="22"/>
      <c r="LP7" s="22"/>
      <c r="LQ7" s="22"/>
      <c r="LR7" s="23"/>
      <c r="LS7" s="26"/>
      <c r="LT7" s="24"/>
      <c r="LU7" s="24"/>
      <c r="LV7" s="24"/>
      <c r="LW7" s="24"/>
      <c r="LX7" s="24"/>
      <c r="LY7" s="24"/>
      <c r="LZ7" s="24"/>
      <c r="MA7" s="24"/>
      <c r="MB7" s="24"/>
      <c r="MC7" s="24"/>
      <c r="MD7" s="24"/>
      <c r="ME7" s="24"/>
      <c r="MF7" s="24"/>
      <c r="MG7" s="24"/>
      <c r="MH7" s="24"/>
      <c r="MI7" s="24"/>
      <c r="MJ7" s="24"/>
      <c r="MK7" s="22"/>
      <c r="ML7" s="22"/>
      <c r="MM7" s="22"/>
      <c r="MN7" s="22"/>
      <c r="MO7" s="23"/>
      <c r="MP7" s="26"/>
      <c r="MQ7" s="24"/>
      <c r="MR7" s="24"/>
      <c r="MS7" s="24"/>
      <c r="MT7" s="24"/>
      <c r="MU7" s="24"/>
      <c r="MV7" s="24"/>
      <c r="MW7" s="24"/>
      <c r="MX7" s="24"/>
      <c r="MY7" s="24"/>
      <c r="MZ7" s="24"/>
      <c r="NA7" s="24"/>
      <c r="NB7" s="24"/>
      <c r="NC7" s="24"/>
      <c r="ND7" s="24"/>
      <c r="NE7" s="24"/>
      <c r="NF7" s="24"/>
      <c r="NG7" s="24"/>
      <c r="NH7" s="22"/>
      <c r="NI7" s="22"/>
      <c r="NJ7" s="22"/>
      <c r="NK7" s="22"/>
      <c r="NL7" s="23"/>
      <c r="NM7" s="26"/>
      <c r="NN7" s="24"/>
      <c r="NO7" s="24"/>
      <c r="NP7" s="24"/>
      <c r="NQ7" s="24"/>
      <c r="NR7" s="24"/>
      <c r="NS7" s="24"/>
      <c r="NT7" s="24"/>
      <c r="NU7" s="24"/>
      <c r="NV7" s="24"/>
      <c r="NW7" s="24"/>
      <c r="NX7" s="24"/>
      <c r="NY7" s="24"/>
      <c r="NZ7" s="24"/>
      <c r="OA7" s="24"/>
      <c r="OB7" s="24"/>
      <c r="OC7" s="24"/>
      <c r="OD7" s="24"/>
      <c r="OE7" s="22"/>
      <c r="OF7" s="22"/>
      <c r="OG7" s="22"/>
      <c r="OH7" s="22"/>
      <c r="OI7" s="23"/>
      <c r="OJ7" s="26"/>
      <c r="OK7" s="24"/>
      <c r="OL7" s="24"/>
      <c r="OM7" s="24"/>
      <c r="ON7" s="24"/>
      <c r="OO7" s="24"/>
      <c r="OP7" s="24"/>
      <c r="OQ7" s="24"/>
      <c r="OR7" s="24"/>
      <c r="OS7" s="24"/>
      <c r="OT7" s="24"/>
      <c r="OU7" s="24"/>
      <c r="OV7" s="24"/>
      <c r="OW7" s="24"/>
      <c r="OX7" s="24"/>
      <c r="OY7" s="24"/>
      <c r="OZ7" s="24"/>
      <c r="PA7" s="24"/>
      <c r="PB7" s="22"/>
      <c r="PC7" s="22"/>
      <c r="PD7" s="22"/>
      <c r="PE7" s="22"/>
      <c r="PF7" s="23"/>
      <c r="PG7" s="26"/>
      <c r="PH7" s="24"/>
      <c r="PI7" s="24"/>
      <c r="PJ7" s="24"/>
      <c r="PK7" s="24"/>
      <c r="PL7" s="24"/>
      <c r="PM7" s="24"/>
      <c r="PN7" s="24"/>
      <c r="PO7" s="24"/>
      <c r="PP7" s="24"/>
      <c r="PQ7" s="24"/>
      <c r="PR7" s="24"/>
      <c r="PS7" s="24"/>
      <c r="PT7" s="24"/>
      <c r="PU7" s="24"/>
      <c r="PV7" s="24"/>
      <c r="PW7" s="24"/>
      <c r="PX7" s="24"/>
      <c r="PY7" s="22"/>
      <c r="PZ7" s="22"/>
      <c r="QA7" s="22"/>
      <c r="QB7" s="22"/>
      <c r="QC7" s="23"/>
      <c r="QD7" s="26"/>
      <c r="QE7" s="24"/>
      <c r="QF7" s="24"/>
      <c r="QG7" s="24"/>
      <c r="QH7" s="24"/>
      <c r="QI7" s="24"/>
      <c r="QJ7" s="24"/>
      <c r="QK7" s="24"/>
      <c r="QL7" s="24"/>
      <c r="QM7" s="24"/>
      <c r="QN7" s="24"/>
      <c r="QO7" s="24"/>
      <c r="QP7" s="24"/>
      <c r="QQ7" s="24"/>
      <c r="QR7" s="24"/>
      <c r="QS7" s="24"/>
      <c r="QT7" s="24"/>
      <c r="QU7" s="24"/>
      <c r="QV7" s="22"/>
      <c r="QW7" s="22"/>
      <c r="QX7" s="22"/>
      <c r="QY7" s="22"/>
      <c r="QZ7" s="23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</row>
    <row r="8" spans="1:540" s="10" customFormat="1" ht="39.950000000000003" customHeight="1" x14ac:dyDescent="0.5">
      <c r="A8" s="44" t="str">
        <f t="shared" si="12"/>
        <v>PRIME TIME</v>
      </c>
      <c r="B8" s="44">
        <f t="shared" si="12"/>
        <v>1</v>
      </c>
      <c r="C8" s="44">
        <f t="shared" si="12"/>
        <v>-1</v>
      </c>
      <c r="D8" s="86" t="s">
        <v>32</v>
      </c>
      <c r="E8" s="105">
        <f>SUM(E2:E7)</f>
        <v>6</v>
      </c>
      <c r="F8" s="105">
        <f t="shared" ref="F8:U8" si="13">SUM(F2:F7)</f>
        <v>32</v>
      </c>
      <c r="G8" s="105">
        <f t="shared" si="13"/>
        <v>5</v>
      </c>
      <c r="H8" s="105">
        <f t="shared" si="13"/>
        <v>39</v>
      </c>
      <c r="I8" s="105">
        <f t="shared" si="13"/>
        <v>11</v>
      </c>
      <c r="J8" s="105">
        <f t="shared" si="13"/>
        <v>71</v>
      </c>
      <c r="K8" s="105">
        <f t="shared" si="13"/>
        <v>2</v>
      </c>
      <c r="L8" s="105">
        <f t="shared" si="13"/>
        <v>3</v>
      </c>
      <c r="M8" s="105">
        <f t="shared" si="13"/>
        <v>13</v>
      </c>
      <c r="N8" s="105">
        <f t="shared" si="13"/>
        <v>24</v>
      </c>
      <c r="O8" s="105">
        <f t="shared" si="13"/>
        <v>29</v>
      </c>
      <c r="P8" s="105">
        <f t="shared" si="13"/>
        <v>37</v>
      </c>
      <c r="Q8" s="105">
        <f t="shared" si="13"/>
        <v>6</v>
      </c>
      <c r="R8" s="105">
        <f t="shared" si="13"/>
        <v>0</v>
      </c>
      <c r="S8" s="105">
        <f t="shared" si="13"/>
        <v>10</v>
      </c>
      <c r="T8" s="105">
        <f t="shared" si="13"/>
        <v>8</v>
      </c>
      <c r="U8" s="105">
        <f t="shared" si="13"/>
        <v>3</v>
      </c>
      <c r="V8" s="106">
        <f t="shared" si="1"/>
        <v>0.15492957746478872</v>
      </c>
      <c r="W8" s="106">
        <f t="shared" si="9"/>
        <v>0.20049778761061948</v>
      </c>
      <c r="X8" s="106">
        <f t="shared" si="2"/>
        <v>0.66666666666666663</v>
      </c>
      <c r="Y8" s="106">
        <f t="shared" si="3"/>
        <v>0.1875</v>
      </c>
      <c r="Z8" s="106">
        <f t="shared" si="4"/>
        <v>0.12820512820512819</v>
      </c>
      <c r="AA8" s="107">
        <f>AVERAGE(AA2:AA7)</f>
        <v>0.76666666666666672</v>
      </c>
      <c r="AB8" s="46" t="str">
        <f>AB7</f>
        <v>PRE</v>
      </c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</row>
    <row r="9" spans="1:540" ht="39.950000000000003" customHeight="1" x14ac:dyDescent="0.5">
      <c r="A9" s="44" t="s">
        <v>33</v>
      </c>
      <c r="B9" s="44">
        <f t="shared" si="10"/>
        <v>1</v>
      </c>
      <c r="C9" s="44">
        <f t="shared" si="10"/>
        <v>-1</v>
      </c>
      <c r="D9" s="159" t="s">
        <v>37</v>
      </c>
      <c r="E9" s="83"/>
      <c r="F9" s="83"/>
      <c r="G9" s="83"/>
      <c r="H9" s="83"/>
      <c r="I9" s="83"/>
      <c r="J9" s="83"/>
      <c r="K9" s="83"/>
      <c r="L9" s="83"/>
      <c r="M9" s="83"/>
      <c r="N9" s="83"/>
      <c r="O9" s="83">
        <v>55</v>
      </c>
      <c r="P9" s="83"/>
      <c r="Q9" s="83"/>
      <c r="R9" s="83"/>
      <c r="S9" s="83"/>
      <c r="T9" s="83"/>
      <c r="U9" s="83"/>
      <c r="V9" s="83"/>
      <c r="W9" s="83"/>
      <c r="X9" s="83"/>
      <c r="Y9" s="83"/>
      <c r="Z9" s="83"/>
      <c r="AA9" s="83"/>
      <c r="AB9" s="46" t="str">
        <f t="shared" si="11"/>
        <v>PRE</v>
      </c>
      <c r="DC9" s="2"/>
      <c r="DD9" s="2"/>
      <c r="HH9" s="10"/>
      <c r="HI9" s="11"/>
      <c r="HJ9" s="11"/>
      <c r="HK9" s="11"/>
      <c r="HL9" s="11"/>
      <c r="HM9" s="11"/>
      <c r="HN9" s="11"/>
      <c r="HO9" s="11"/>
      <c r="HP9" s="11"/>
      <c r="HQ9" s="12"/>
      <c r="HR9" s="12"/>
      <c r="HS9" s="11"/>
      <c r="HT9" s="12"/>
      <c r="HU9" s="12"/>
      <c r="HV9" s="12"/>
      <c r="HW9" s="12"/>
      <c r="HX9" s="12"/>
      <c r="HY9" s="12"/>
      <c r="HZ9" s="13"/>
      <c r="IA9" s="13"/>
      <c r="IB9" s="13"/>
      <c r="IC9" s="13"/>
    </row>
    <row r="10" spans="1:540" ht="39.950000000000003" customHeight="1" x14ac:dyDescent="0.5">
      <c r="A10" s="44" t="str">
        <f>D17</f>
        <v>Kawhi About It</v>
      </c>
      <c r="B10" s="44">
        <v>1</v>
      </c>
      <c r="C10" s="44">
        <v>1</v>
      </c>
      <c r="D10" s="86" t="s">
        <v>36</v>
      </c>
      <c r="E10" s="87">
        <v>11</v>
      </c>
      <c r="F10" s="87">
        <v>26</v>
      </c>
      <c r="G10" s="87">
        <v>1</v>
      </c>
      <c r="H10" s="87">
        <v>8</v>
      </c>
      <c r="I10" s="87">
        <f>E10+G10</f>
        <v>12</v>
      </c>
      <c r="J10" s="87">
        <f>F10+H10</f>
        <v>34</v>
      </c>
      <c r="K10" s="87">
        <v>4</v>
      </c>
      <c r="L10" s="87">
        <v>8</v>
      </c>
      <c r="M10" s="87">
        <v>6</v>
      </c>
      <c r="N10" s="87">
        <v>4</v>
      </c>
      <c r="O10" s="87">
        <f>E10*2+G10*3+K10</f>
        <v>29</v>
      </c>
      <c r="P10" s="87">
        <f>M10+N10</f>
        <v>10</v>
      </c>
      <c r="Q10" s="87">
        <v>4</v>
      </c>
      <c r="R10" s="87">
        <v>0</v>
      </c>
      <c r="S10" s="87">
        <v>1</v>
      </c>
      <c r="T10" s="87">
        <v>1</v>
      </c>
      <c r="U10" s="87">
        <v>0</v>
      </c>
      <c r="V10" s="88">
        <f t="shared" ref="V10:V16" si="14">IFERROR(I10/J10,0)</f>
        <v>0.35294117647058826</v>
      </c>
      <c r="W10" s="88">
        <f>IFERROR(O10/(2*(J10+0.44*L10)), 0)</f>
        <v>0.38646055437100207</v>
      </c>
      <c r="X10" s="88">
        <f t="shared" ref="X10:X16" si="15">IFERROR(K10/L10,0)</f>
        <v>0.5</v>
      </c>
      <c r="Y10" s="88">
        <f t="shared" ref="Y10:Y16" si="16">IFERROR(E10/F10,0)</f>
        <v>0.42307692307692307</v>
      </c>
      <c r="Z10" s="88">
        <f t="shared" ref="Z10:Z16" si="17">IFERROR(G10/H10,0)</f>
        <v>0.125</v>
      </c>
      <c r="AA10" s="89">
        <f t="shared" ref="AA10:AA15" si="18">(O10)+(0.4*I10)-(0.7*J10)-(0.4*(L10-K10))+(0.7*M10)+(0.3*N10)+S10+(0.7*Q10)+(0.7*R10)-(0.4*U10)-T10</f>
        <v>16.599999999999998</v>
      </c>
      <c r="AB10" s="167" t="s">
        <v>27</v>
      </c>
    </row>
    <row r="11" spans="1:540" ht="39.950000000000003" customHeight="1" x14ac:dyDescent="0.5">
      <c r="A11" s="44" t="str">
        <f>A10</f>
        <v>Kawhi About It</v>
      </c>
      <c r="B11" s="44">
        <f>B10</f>
        <v>1</v>
      </c>
      <c r="C11" s="44">
        <f>C10</f>
        <v>1</v>
      </c>
      <c r="D11" s="86" t="s">
        <v>42</v>
      </c>
      <c r="E11" s="90">
        <v>0</v>
      </c>
      <c r="F11" s="90">
        <v>2</v>
      </c>
      <c r="G11" s="90">
        <v>0</v>
      </c>
      <c r="H11" s="90">
        <v>1</v>
      </c>
      <c r="I11" s="90">
        <f t="shared" ref="I11:J15" si="19">E11+G11</f>
        <v>0</v>
      </c>
      <c r="J11" s="90">
        <f t="shared" si="19"/>
        <v>3</v>
      </c>
      <c r="K11" s="90">
        <v>0</v>
      </c>
      <c r="L11" s="90">
        <v>0</v>
      </c>
      <c r="M11" s="90">
        <v>4</v>
      </c>
      <c r="N11" s="90">
        <v>6</v>
      </c>
      <c r="O11" s="90">
        <f t="shared" ref="O11:O15" si="20">E11*2+G11*3+K11</f>
        <v>0</v>
      </c>
      <c r="P11" s="90">
        <f t="shared" ref="P11:P15" si="21">M11+N11</f>
        <v>10</v>
      </c>
      <c r="Q11" s="90">
        <v>2</v>
      </c>
      <c r="R11" s="90">
        <v>0</v>
      </c>
      <c r="S11" s="90">
        <v>1</v>
      </c>
      <c r="T11" s="90">
        <v>0</v>
      </c>
      <c r="U11" s="90">
        <v>0</v>
      </c>
      <c r="V11" s="91">
        <f t="shared" si="14"/>
        <v>0</v>
      </c>
      <c r="W11" s="91">
        <f t="shared" ref="W11:W16" si="22">IFERROR(O11/(2*(J11+0.44*L11)), 0)</f>
        <v>0</v>
      </c>
      <c r="X11" s="91">
        <f t="shared" si="15"/>
        <v>0</v>
      </c>
      <c r="Y11" s="91">
        <f t="shared" si="16"/>
        <v>0</v>
      </c>
      <c r="Z11" s="91">
        <f t="shared" si="17"/>
        <v>0</v>
      </c>
      <c r="AA11" s="92">
        <f t="shared" si="18"/>
        <v>4.9000000000000004</v>
      </c>
      <c r="AB11" s="46" t="str">
        <f>AB10</f>
        <v>REG</v>
      </c>
      <c r="DB11" s="2"/>
      <c r="DC11" s="14"/>
      <c r="DD11" s="15"/>
      <c r="DE11" s="16"/>
    </row>
    <row r="12" spans="1:540" ht="39.950000000000003" customHeight="1" x14ac:dyDescent="0.5">
      <c r="A12" s="44" t="str">
        <f t="shared" ref="A12:C14" si="23">A11</f>
        <v>Kawhi About It</v>
      </c>
      <c r="B12" s="44">
        <f t="shared" si="23"/>
        <v>1</v>
      </c>
      <c r="C12" s="44">
        <f t="shared" si="23"/>
        <v>1</v>
      </c>
      <c r="D12" s="86" t="s">
        <v>29</v>
      </c>
      <c r="E12" s="93">
        <v>0</v>
      </c>
      <c r="F12" s="93">
        <v>1</v>
      </c>
      <c r="G12" s="93">
        <v>0</v>
      </c>
      <c r="H12" s="93">
        <v>2</v>
      </c>
      <c r="I12" s="93">
        <f t="shared" si="19"/>
        <v>0</v>
      </c>
      <c r="J12" s="93">
        <f>F12+H12</f>
        <v>3</v>
      </c>
      <c r="K12" s="93">
        <v>0</v>
      </c>
      <c r="L12" s="93">
        <v>0</v>
      </c>
      <c r="M12" s="93">
        <v>0</v>
      </c>
      <c r="N12" s="93">
        <v>3</v>
      </c>
      <c r="O12" s="93">
        <f t="shared" si="20"/>
        <v>0</v>
      </c>
      <c r="P12" s="93">
        <f t="shared" si="21"/>
        <v>3</v>
      </c>
      <c r="Q12" s="93">
        <v>1</v>
      </c>
      <c r="R12" s="93">
        <v>0</v>
      </c>
      <c r="S12" s="93">
        <v>0</v>
      </c>
      <c r="T12" s="93">
        <v>0</v>
      </c>
      <c r="U12" s="93">
        <v>0</v>
      </c>
      <c r="V12" s="94">
        <f t="shared" si="14"/>
        <v>0</v>
      </c>
      <c r="W12" s="94">
        <f t="shared" si="22"/>
        <v>0</v>
      </c>
      <c r="X12" s="94">
        <f t="shared" si="15"/>
        <v>0</v>
      </c>
      <c r="Y12" s="94">
        <f t="shared" si="16"/>
        <v>0</v>
      </c>
      <c r="Z12" s="94">
        <f t="shared" si="17"/>
        <v>0</v>
      </c>
      <c r="AA12" s="95">
        <f t="shared" si="18"/>
        <v>-0.49999999999999978</v>
      </c>
      <c r="AB12" s="46" t="str">
        <f t="shared" ref="AB12:AB17" si="24">AB11</f>
        <v>REG</v>
      </c>
    </row>
    <row r="13" spans="1:540" ht="39.950000000000003" customHeight="1" x14ac:dyDescent="0.5">
      <c r="A13" s="44" t="str">
        <f t="shared" si="23"/>
        <v>Kawhi About It</v>
      </c>
      <c r="B13" s="44">
        <f t="shared" si="23"/>
        <v>1</v>
      </c>
      <c r="C13" s="44">
        <f t="shared" si="23"/>
        <v>1</v>
      </c>
      <c r="D13" s="86" t="s">
        <v>30</v>
      </c>
      <c r="E13" s="96">
        <v>2</v>
      </c>
      <c r="F13" s="96">
        <v>5</v>
      </c>
      <c r="G13" s="96">
        <v>7</v>
      </c>
      <c r="H13" s="96">
        <v>15</v>
      </c>
      <c r="I13" s="96">
        <f t="shared" si="19"/>
        <v>9</v>
      </c>
      <c r="J13" s="96">
        <f t="shared" si="19"/>
        <v>20</v>
      </c>
      <c r="K13" s="96">
        <v>0</v>
      </c>
      <c r="L13" s="96">
        <v>1</v>
      </c>
      <c r="M13" s="96">
        <v>2</v>
      </c>
      <c r="N13" s="96">
        <v>9</v>
      </c>
      <c r="O13" s="96">
        <f t="shared" si="20"/>
        <v>25</v>
      </c>
      <c r="P13" s="96">
        <f t="shared" si="21"/>
        <v>11</v>
      </c>
      <c r="Q13" s="96">
        <v>3</v>
      </c>
      <c r="R13" s="96">
        <v>0</v>
      </c>
      <c r="S13" s="96">
        <v>1</v>
      </c>
      <c r="T13" s="96">
        <v>1</v>
      </c>
      <c r="U13" s="96">
        <v>0</v>
      </c>
      <c r="V13" s="97">
        <f t="shared" si="14"/>
        <v>0.45</v>
      </c>
      <c r="W13" s="97">
        <f t="shared" si="22"/>
        <v>0.61154598825831696</v>
      </c>
      <c r="X13" s="97">
        <f t="shared" si="15"/>
        <v>0</v>
      </c>
      <c r="Y13" s="97">
        <f t="shared" si="16"/>
        <v>0.4</v>
      </c>
      <c r="Z13" s="97">
        <f t="shared" si="17"/>
        <v>0.46666666666666667</v>
      </c>
      <c r="AA13" s="98">
        <f t="shared" si="18"/>
        <v>20.399999999999999</v>
      </c>
      <c r="AB13" s="46" t="str">
        <f t="shared" si="24"/>
        <v>REG</v>
      </c>
    </row>
    <row r="14" spans="1:540" s="42" customFormat="1" ht="39.950000000000003" customHeight="1" x14ac:dyDescent="0.5">
      <c r="A14" s="44" t="str">
        <f t="shared" si="23"/>
        <v>Kawhi About It</v>
      </c>
      <c r="B14" s="44">
        <f t="shared" si="23"/>
        <v>1</v>
      </c>
      <c r="C14" s="44">
        <f t="shared" si="23"/>
        <v>1</v>
      </c>
      <c r="D14" s="86" t="s">
        <v>41</v>
      </c>
      <c r="E14" s="99">
        <v>0</v>
      </c>
      <c r="F14" s="99">
        <v>0</v>
      </c>
      <c r="G14" s="99">
        <v>1</v>
      </c>
      <c r="H14" s="99">
        <v>5</v>
      </c>
      <c r="I14" s="99">
        <f t="shared" si="19"/>
        <v>1</v>
      </c>
      <c r="J14" s="99">
        <f t="shared" si="19"/>
        <v>5</v>
      </c>
      <c r="K14" s="99">
        <v>0</v>
      </c>
      <c r="L14" s="99">
        <v>0</v>
      </c>
      <c r="M14" s="99">
        <v>0</v>
      </c>
      <c r="N14" s="99">
        <v>1</v>
      </c>
      <c r="O14" s="99">
        <f t="shared" si="20"/>
        <v>3</v>
      </c>
      <c r="P14" s="99">
        <f t="shared" si="21"/>
        <v>1</v>
      </c>
      <c r="Q14" s="99">
        <v>2</v>
      </c>
      <c r="R14" s="99">
        <v>0</v>
      </c>
      <c r="S14" s="99">
        <v>0</v>
      </c>
      <c r="T14" s="99">
        <v>1</v>
      </c>
      <c r="U14" s="99">
        <v>1</v>
      </c>
      <c r="V14" s="100">
        <f t="shared" si="14"/>
        <v>0.2</v>
      </c>
      <c r="W14" s="100">
        <f t="shared" si="22"/>
        <v>0.3</v>
      </c>
      <c r="X14" s="100">
        <f t="shared" si="15"/>
        <v>0</v>
      </c>
      <c r="Y14" s="100">
        <f t="shared" si="16"/>
        <v>0</v>
      </c>
      <c r="Z14" s="100">
        <f t="shared" si="17"/>
        <v>0.2</v>
      </c>
      <c r="AA14" s="101">
        <f t="shared" si="18"/>
        <v>0.19999999999999973</v>
      </c>
      <c r="AB14" s="46" t="str">
        <f t="shared" si="24"/>
        <v>REG</v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26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24"/>
      <c r="KO14" s="24"/>
      <c r="KP14" s="24"/>
      <c r="KQ14" s="22"/>
      <c r="KR14" s="22"/>
      <c r="KS14" s="22"/>
      <c r="KT14" s="22"/>
      <c r="KU14" s="23"/>
      <c r="KV14" s="26"/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2"/>
      <c r="LO14" s="22"/>
      <c r="LP14" s="22"/>
      <c r="LQ14" s="22"/>
      <c r="LR14" s="23"/>
      <c r="LS14" s="26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2"/>
      <c r="ML14" s="22"/>
      <c r="MM14" s="22"/>
      <c r="MN14" s="22"/>
      <c r="MO14" s="23"/>
      <c r="MP14" s="26"/>
      <c r="MQ14" s="24"/>
      <c r="MR14" s="24"/>
      <c r="MS14" s="24"/>
      <c r="MT14" s="24"/>
      <c r="MU14" s="24"/>
      <c r="MV14" s="24"/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2"/>
      <c r="NI14" s="22"/>
      <c r="NJ14" s="22"/>
      <c r="NK14" s="22"/>
      <c r="NL14" s="23"/>
      <c r="NM14" s="26"/>
      <c r="NN14" s="24"/>
      <c r="NO14" s="24"/>
      <c r="NP14" s="24"/>
      <c r="NQ14" s="24"/>
      <c r="NR14" s="24"/>
      <c r="NS14" s="24"/>
      <c r="NT14" s="24"/>
      <c r="NU14" s="24"/>
      <c r="NV14" s="24"/>
      <c r="NW14" s="24"/>
      <c r="NX14" s="24"/>
      <c r="NY14" s="24"/>
      <c r="NZ14" s="24"/>
      <c r="OA14" s="24"/>
      <c r="OB14" s="24"/>
      <c r="OC14" s="24"/>
      <c r="OD14" s="24"/>
      <c r="OE14" s="22"/>
      <c r="OF14" s="22"/>
      <c r="OG14" s="22"/>
      <c r="OH14" s="22"/>
      <c r="OI14" s="23"/>
      <c r="OJ14" s="26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24"/>
      <c r="OW14" s="24"/>
      <c r="OX14" s="24"/>
      <c r="OY14" s="24"/>
      <c r="OZ14" s="24"/>
      <c r="PA14" s="24"/>
      <c r="PB14" s="22"/>
      <c r="PC14" s="22"/>
      <c r="PD14" s="22"/>
      <c r="PE14" s="22"/>
      <c r="PF14" s="23"/>
      <c r="PG14" s="26"/>
      <c r="PH14" s="24"/>
      <c r="PI14" s="24"/>
      <c r="PJ14" s="24"/>
      <c r="PK14" s="24"/>
      <c r="PL14" s="24"/>
      <c r="PM14" s="24"/>
      <c r="PN14" s="24"/>
      <c r="PO14" s="24"/>
      <c r="PP14" s="24"/>
      <c r="PQ14" s="24"/>
      <c r="PR14" s="24"/>
      <c r="PS14" s="24"/>
      <c r="PT14" s="24"/>
      <c r="PU14" s="24"/>
      <c r="PV14" s="24"/>
      <c r="PW14" s="24"/>
      <c r="PX14" s="24"/>
      <c r="PY14" s="22"/>
      <c r="PZ14" s="22"/>
      <c r="QA14" s="22"/>
      <c r="QB14" s="22"/>
      <c r="QC14" s="23"/>
      <c r="QD14" s="26"/>
      <c r="QE14" s="24"/>
      <c r="QF14" s="24"/>
      <c r="QG14" s="24"/>
      <c r="QH14" s="24"/>
      <c r="QI14" s="24"/>
      <c r="QJ14" s="24"/>
      <c r="QK14" s="24"/>
      <c r="QL14" s="24"/>
      <c r="QM14" s="24"/>
      <c r="QN14" s="24"/>
      <c r="QO14" s="24"/>
      <c r="QP14" s="24"/>
      <c r="QQ14" s="24"/>
      <c r="QR14" s="24"/>
      <c r="QS14" s="24"/>
      <c r="QT14" s="24"/>
      <c r="QU14" s="24"/>
      <c r="QV14" s="22"/>
      <c r="QW14" s="22"/>
      <c r="QX14" s="22"/>
      <c r="QY14" s="22"/>
      <c r="QZ14" s="23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</row>
    <row r="15" spans="1:540" ht="39.950000000000003" customHeight="1" x14ac:dyDescent="0.5">
      <c r="A15" s="44" t="str">
        <f t="shared" ref="A15:C16" si="25">A13</f>
        <v>Kawhi About It</v>
      </c>
      <c r="B15" s="44">
        <f t="shared" si="25"/>
        <v>1</v>
      </c>
      <c r="C15" s="44">
        <f t="shared" si="25"/>
        <v>1</v>
      </c>
      <c r="D15" s="86" t="s">
        <v>35</v>
      </c>
      <c r="E15" s="102">
        <v>3</v>
      </c>
      <c r="F15" s="102">
        <v>12</v>
      </c>
      <c r="G15" s="102">
        <v>0</v>
      </c>
      <c r="H15" s="102">
        <v>3</v>
      </c>
      <c r="I15" s="102">
        <f t="shared" si="19"/>
        <v>3</v>
      </c>
      <c r="J15" s="102">
        <f t="shared" si="19"/>
        <v>15</v>
      </c>
      <c r="K15" s="102">
        <v>0</v>
      </c>
      <c r="L15" s="102">
        <v>2</v>
      </c>
      <c r="M15" s="102">
        <v>6</v>
      </c>
      <c r="N15" s="102">
        <v>8</v>
      </c>
      <c r="O15" s="102">
        <f t="shared" si="20"/>
        <v>6</v>
      </c>
      <c r="P15" s="102">
        <f t="shared" si="21"/>
        <v>14</v>
      </c>
      <c r="Q15" s="102">
        <v>0</v>
      </c>
      <c r="R15" s="102">
        <v>2</v>
      </c>
      <c r="S15" s="102">
        <v>0</v>
      </c>
      <c r="T15" s="102">
        <v>4</v>
      </c>
      <c r="U15" s="102">
        <v>0</v>
      </c>
      <c r="V15" s="103">
        <f t="shared" si="14"/>
        <v>0.2</v>
      </c>
      <c r="W15" s="103">
        <f t="shared" si="22"/>
        <v>0.18891687657430731</v>
      </c>
      <c r="X15" s="103">
        <f t="shared" si="15"/>
        <v>0</v>
      </c>
      <c r="Y15" s="103">
        <f t="shared" si="16"/>
        <v>0.25</v>
      </c>
      <c r="Z15" s="103">
        <f t="shared" si="17"/>
        <v>0</v>
      </c>
      <c r="AA15" s="104">
        <f t="shared" si="18"/>
        <v>-0.10000000000000053</v>
      </c>
      <c r="AB15" s="46" t="str">
        <f>AB14</f>
        <v>REG</v>
      </c>
    </row>
    <row r="16" spans="1:540" ht="39.950000000000003" customHeight="1" x14ac:dyDescent="0.5">
      <c r="A16" s="44" t="str">
        <f t="shared" si="25"/>
        <v>Kawhi About It</v>
      </c>
      <c r="B16" s="44">
        <f t="shared" si="25"/>
        <v>1</v>
      </c>
      <c r="C16" s="44">
        <f t="shared" si="25"/>
        <v>1</v>
      </c>
      <c r="D16" s="86" t="s">
        <v>32</v>
      </c>
      <c r="E16" s="105">
        <f>SUM(E10:E15)</f>
        <v>16</v>
      </c>
      <c r="F16" s="105">
        <f t="shared" ref="F16:U16" si="26">SUM(F10:F15)</f>
        <v>46</v>
      </c>
      <c r="G16" s="105">
        <f t="shared" si="26"/>
        <v>9</v>
      </c>
      <c r="H16" s="105">
        <f t="shared" si="26"/>
        <v>34</v>
      </c>
      <c r="I16" s="105">
        <f t="shared" si="26"/>
        <v>25</v>
      </c>
      <c r="J16" s="105">
        <f t="shared" si="26"/>
        <v>80</v>
      </c>
      <c r="K16" s="105">
        <f t="shared" si="26"/>
        <v>4</v>
      </c>
      <c r="L16" s="105">
        <f t="shared" si="26"/>
        <v>11</v>
      </c>
      <c r="M16" s="105">
        <f t="shared" si="26"/>
        <v>18</v>
      </c>
      <c r="N16" s="105">
        <f t="shared" si="26"/>
        <v>31</v>
      </c>
      <c r="O16" s="105">
        <f t="shared" si="26"/>
        <v>63</v>
      </c>
      <c r="P16" s="105">
        <f t="shared" si="26"/>
        <v>49</v>
      </c>
      <c r="Q16" s="105">
        <f t="shared" si="26"/>
        <v>12</v>
      </c>
      <c r="R16" s="105">
        <f t="shared" si="26"/>
        <v>2</v>
      </c>
      <c r="S16" s="105">
        <f t="shared" si="26"/>
        <v>3</v>
      </c>
      <c r="T16" s="105">
        <f t="shared" si="26"/>
        <v>7</v>
      </c>
      <c r="U16" s="105">
        <f t="shared" si="26"/>
        <v>1</v>
      </c>
      <c r="V16" s="106">
        <f t="shared" si="14"/>
        <v>0.3125</v>
      </c>
      <c r="W16" s="106">
        <f t="shared" si="22"/>
        <v>0.37128712871287128</v>
      </c>
      <c r="X16" s="106">
        <f t="shared" si="15"/>
        <v>0.36363636363636365</v>
      </c>
      <c r="Y16" s="106">
        <f t="shared" si="16"/>
        <v>0.34782608695652173</v>
      </c>
      <c r="Z16" s="106">
        <f t="shared" si="17"/>
        <v>0.26470588235294118</v>
      </c>
      <c r="AA16" s="107">
        <f>AVERAGE(AA10:AA15)</f>
        <v>6.916666666666667</v>
      </c>
      <c r="AB16" s="46" t="str">
        <f>AB15</f>
        <v>REG</v>
      </c>
      <c r="AH16" s="18"/>
      <c r="AI16" s="19"/>
      <c r="AJ16" s="19"/>
      <c r="AK16" s="19"/>
      <c r="AL16" s="19"/>
      <c r="AM16" s="19"/>
      <c r="AN16" s="19"/>
      <c r="AO16" s="19"/>
      <c r="AP16" s="20"/>
      <c r="AQ16" s="21"/>
      <c r="AR16" s="22"/>
      <c r="AS16" s="23"/>
      <c r="AT16" s="24"/>
      <c r="AU16" s="25"/>
    </row>
    <row r="17" spans="1:540" ht="39.950000000000003" customHeight="1" x14ac:dyDescent="0.55000000000000004">
      <c r="A17" s="44" t="s">
        <v>33</v>
      </c>
      <c r="B17" s="44">
        <f t="shared" ref="B17:C17" si="27">B16</f>
        <v>1</v>
      </c>
      <c r="C17" s="44">
        <f t="shared" si="27"/>
        <v>1</v>
      </c>
      <c r="D17" s="82" t="s">
        <v>40</v>
      </c>
      <c r="E17" s="83"/>
      <c r="F17" s="83"/>
      <c r="G17" s="83"/>
      <c r="H17" s="83"/>
      <c r="I17" s="83"/>
      <c r="J17" s="83"/>
      <c r="K17" s="83"/>
      <c r="L17" s="83"/>
      <c r="M17" s="83"/>
      <c r="N17" s="83"/>
      <c r="O17" s="83">
        <v>77</v>
      </c>
      <c r="P17" s="83"/>
      <c r="Q17" s="83"/>
      <c r="R17" s="83"/>
      <c r="S17" s="83"/>
      <c r="T17" s="83"/>
      <c r="U17" s="83"/>
      <c r="V17" s="83"/>
      <c r="W17" s="83"/>
      <c r="X17" s="83"/>
      <c r="Y17" s="83"/>
      <c r="Z17" s="83"/>
      <c r="AA17" s="83"/>
      <c r="AB17" s="46" t="str">
        <f t="shared" si="24"/>
        <v>REG</v>
      </c>
      <c r="AH17" s="18"/>
      <c r="AI17" s="19"/>
      <c r="AJ17" s="19"/>
      <c r="AK17" s="19"/>
      <c r="AL17" s="19"/>
      <c r="AM17" s="19"/>
      <c r="AN17" s="19"/>
      <c r="AO17" s="19"/>
      <c r="AP17" s="20"/>
      <c r="AQ17" s="21"/>
      <c r="AR17" s="22"/>
      <c r="AS17" s="23"/>
      <c r="AT17" s="24"/>
      <c r="AU17" s="26"/>
      <c r="AV17" s="26"/>
      <c r="AW17" s="24"/>
    </row>
    <row r="18" spans="1:540" ht="39.950000000000003" customHeight="1" x14ac:dyDescent="0.5">
      <c r="A18" s="44" t="str">
        <f>D25</f>
        <v>Uncle Brickers</v>
      </c>
      <c r="B18" s="44">
        <v>1</v>
      </c>
      <c r="C18" s="44">
        <v>2</v>
      </c>
      <c r="D18" s="86" t="s">
        <v>36</v>
      </c>
      <c r="E18" s="87">
        <v>12</v>
      </c>
      <c r="F18" s="87">
        <v>18</v>
      </c>
      <c r="G18" s="87">
        <v>1</v>
      </c>
      <c r="H18" s="87">
        <v>5</v>
      </c>
      <c r="I18" s="87">
        <f>E18+G18</f>
        <v>13</v>
      </c>
      <c r="J18" s="87">
        <f>F18+H18</f>
        <v>23</v>
      </c>
      <c r="K18" s="87">
        <v>1</v>
      </c>
      <c r="L18" s="87">
        <v>3</v>
      </c>
      <c r="M18" s="87">
        <v>6</v>
      </c>
      <c r="N18" s="87">
        <v>3</v>
      </c>
      <c r="O18" s="87">
        <f>E18*2+G18*3+K18</f>
        <v>28</v>
      </c>
      <c r="P18" s="87">
        <f>M18+N18</f>
        <v>9</v>
      </c>
      <c r="Q18" s="87">
        <v>7</v>
      </c>
      <c r="R18" s="87">
        <v>0</v>
      </c>
      <c r="S18" s="87">
        <v>1</v>
      </c>
      <c r="T18" s="87">
        <v>2</v>
      </c>
      <c r="U18" s="87">
        <v>2</v>
      </c>
      <c r="V18" s="88">
        <f t="shared" ref="V18:V24" si="28">IFERROR(I18/J18,0)</f>
        <v>0.56521739130434778</v>
      </c>
      <c r="W18" s="88">
        <f>IFERROR(O18/(2*(J18+0.44*L18)), 0)</f>
        <v>0.57565789473684215</v>
      </c>
      <c r="X18" s="88">
        <f t="shared" ref="X18:X24" si="29">IFERROR(K18/L18,0)</f>
        <v>0.33333333333333331</v>
      </c>
      <c r="Y18" s="88">
        <f t="shared" ref="Y18:Y24" si="30">IFERROR(E18/F18,0)</f>
        <v>0.66666666666666663</v>
      </c>
      <c r="Z18" s="88">
        <f t="shared" ref="Z18:Z24" si="31">IFERROR(G18/H18,0)</f>
        <v>0.2</v>
      </c>
      <c r="AA18" s="89">
        <f t="shared" ref="AA18:AA23" si="32">(O18)+(0.4*I18)-(0.7*J18)-(0.4*(L18-K18))+(0.7*M18)+(0.3*N18)+S18+(0.7*Q18)+(0.7*R18)-(0.4*U18)-T18</f>
        <v>24.5</v>
      </c>
      <c r="AB18" s="167" t="s">
        <v>27</v>
      </c>
      <c r="AH18" s="18"/>
      <c r="AI18" s="19"/>
      <c r="AJ18" s="19"/>
      <c r="AK18" s="19"/>
      <c r="AL18" s="19"/>
      <c r="AM18" s="19"/>
      <c r="AN18" s="19"/>
      <c r="AO18" s="19"/>
      <c r="AP18" s="20"/>
      <c r="AQ18" s="21"/>
      <c r="AR18" s="22"/>
      <c r="AS18" s="23"/>
      <c r="AT18" s="24"/>
      <c r="AU18" s="27"/>
      <c r="AV18" s="28"/>
      <c r="AX18" s="26"/>
    </row>
    <row r="19" spans="1:540" ht="39.950000000000003" customHeight="1" x14ac:dyDescent="0.5">
      <c r="A19" s="44" t="str">
        <f>A18</f>
        <v>Uncle Brickers</v>
      </c>
      <c r="B19" s="44">
        <f>B18</f>
        <v>1</v>
      </c>
      <c r="C19" s="44">
        <f>C18</f>
        <v>2</v>
      </c>
      <c r="D19" s="86" t="s">
        <v>28</v>
      </c>
      <c r="E19" s="90">
        <v>8</v>
      </c>
      <c r="F19" s="90">
        <v>8</v>
      </c>
      <c r="G19" s="90">
        <v>5</v>
      </c>
      <c r="H19" s="90">
        <v>14</v>
      </c>
      <c r="I19" s="90">
        <f t="shared" ref="I19:J23" si="33">E19+G19</f>
        <v>13</v>
      </c>
      <c r="J19" s="90">
        <f t="shared" si="33"/>
        <v>22</v>
      </c>
      <c r="K19" s="90">
        <v>0</v>
      </c>
      <c r="L19" s="90">
        <v>0</v>
      </c>
      <c r="M19" s="90">
        <v>0</v>
      </c>
      <c r="N19" s="90">
        <v>4</v>
      </c>
      <c r="O19" s="90">
        <f t="shared" ref="O19:O23" si="34">E19*2+G19*3+K19</f>
        <v>31</v>
      </c>
      <c r="P19" s="90">
        <f t="shared" ref="P19:P23" si="35">M19+N19</f>
        <v>4</v>
      </c>
      <c r="Q19" s="90">
        <v>3</v>
      </c>
      <c r="R19" s="90">
        <v>1</v>
      </c>
      <c r="S19" s="90">
        <v>3</v>
      </c>
      <c r="T19" s="90">
        <v>2</v>
      </c>
      <c r="U19" s="90">
        <v>2</v>
      </c>
      <c r="V19" s="91">
        <f t="shared" si="28"/>
        <v>0.59090909090909094</v>
      </c>
      <c r="W19" s="91">
        <f t="shared" ref="W19:W24" si="36">IFERROR(O19/(2*(J19+0.44*L19)), 0)</f>
        <v>0.70454545454545459</v>
      </c>
      <c r="X19" s="91">
        <f t="shared" si="29"/>
        <v>0</v>
      </c>
      <c r="Y19" s="91">
        <f t="shared" si="30"/>
        <v>1</v>
      </c>
      <c r="Z19" s="91">
        <f t="shared" si="31"/>
        <v>0.35714285714285715</v>
      </c>
      <c r="AA19" s="92">
        <f t="shared" si="32"/>
        <v>25</v>
      </c>
      <c r="AB19" s="46" t="str">
        <f>AB18</f>
        <v>REG</v>
      </c>
      <c r="AH19" s="18"/>
      <c r="AI19" s="19"/>
      <c r="AJ19" s="19"/>
      <c r="AK19" s="19"/>
      <c r="AL19" s="19"/>
      <c r="AM19" s="19"/>
      <c r="AN19" s="19"/>
      <c r="AO19" s="19"/>
      <c r="AP19" s="20"/>
      <c r="AQ19" s="21"/>
      <c r="AR19" s="22"/>
      <c r="AS19" s="23"/>
      <c r="AT19" s="24"/>
      <c r="AU19" s="26"/>
      <c r="AV19" s="26"/>
      <c r="AW19" s="26"/>
      <c r="AX19" s="26"/>
      <c r="AY19" s="29"/>
      <c r="AZ19" s="26"/>
      <c r="BA19" s="26"/>
      <c r="BB19" s="26"/>
    </row>
    <row r="20" spans="1:540" ht="39.950000000000003" customHeight="1" x14ac:dyDescent="0.5">
      <c r="A20" s="44" t="str">
        <f t="shared" ref="A20:C22" si="37">A19</f>
        <v>Uncle Brickers</v>
      </c>
      <c r="B20" s="44">
        <f t="shared" si="37"/>
        <v>1</v>
      </c>
      <c r="C20" s="44">
        <f t="shared" si="37"/>
        <v>2</v>
      </c>
      <c r="D20" s="86" t="s">
        <v>29</v>
      </c>
      <c r="E20" s="93">
        <v>2</v>
      </c>
      <c r="F20" s="93">
        <v>3</v>
      </c>
      <c r="G20" s="93">
        <v>1</v>
      </c>
      <c r="H20" s="93">
        <v>4</v>
      </c>
      <c r="I20" s="93">
        <f t="shared" si="33"/>
        <v>3</v>
      </c>
      <c r="J20" s="93">
        <f t="shared" si="33"/>
        <v>7</v>
      </c>
      <c r="K20" s="93">
        <v>0</v>
      </c>
      <c r="L20" s="93">
        <v>2</v>
      </c>
      <c r="M20" s="93">
        <v>1</v>
      </c>
      <c r="N20" s="93">
        <v>2</v>
      </c>
      <c r="O20" s="93">
        <f t="shared" si="34"/>
        <v>7</v>
      </c>
      <c r="P20" s="93">
        <f t="shared" si="35"/>
        <v>3</v>
      </c>
      <c r="Q20" s="93">
        <v>2</v>
      </c>
      <c r="R20" s="93">
        <v>0</v>
      </c>
      <c r="S20" s="93">
        <v>3</v>
      </c>
      <c r="T20" s="93">
        <v>1</v>
      </c>
      <c r="U20" s="93">
        <v>1</v>
      </c>
      <c r="V20" s="94">
        <f t="shared" si="28"/>
        <v>0.42857142857142855</v>
      </c>
      <c r="W20" s="94">
        <f t="shared" si="36"/>
        <v>0.44416243654822335</v>
      </c>
      <c r="X20" s="94">
        <f t="shared" si="29"/>
        <v>0</v>
      </c>
      <c r="Y20" s="94">
        <f t="shared" si="30"/>
        <v>0.66666666666666663</v>
      </c>
      <c r="Z20" s="94">
        <f t="shared" si="31"/>
        <v>0.25</v>
      </c>
      <c r="AA20" s="95">
        <f t="shared" si="32"/>
        <v>6.8000000000000007</v>
      </c>
      <c r="AB20" s="46" t="str">
        <f t="shared" ref="AB20:AB25" si="38">AB19</f>
        <v>REG</v>
      </c>
      <c r="AH20" s="18"/>
      <c r="AI20" s="18"/>
      <c r="AJ20" s="19"/>
      <c r="AK20" s="30"/>
      <c r="AL20" s="30"/>
      <c r="AM20" s="30"/>
      <c r="AN20" s="30"/>
      <c r="AO20" s="30"/>
      <c r="AP20" s="31"/>
      <c r="AQ20" s="32"/>
      <c r="AR20" s="33"/>
      <c r="AS20" s="34"/>
      <c r="AT20" s="26"/>
      <c r="AU20" s="10"/>
      <c r="AV20" s="10"/>
      <c r="AW20" s="10"/>
      <c r="AX20" s="10"/>
      <c r="AY20" s="10"/>
      <c r="AZ20" s="27"/>
      <c r="BA20" s="27"/>
      <c r="BB20" s="27"/>
      <c r="FU20" s="35"/>
      <c r="FV20" s="35"/>
      <c r="FW20" s="35"/>
      <c r="FX20" s="36"/>
    </row>
    <row r="21" spans="1:540" s="42" customFormat="1" ht="39.950000000000003" customHeight="1" x14ac:dyDescent="0.5">
      <c r="A21" s="44" t="str">
        <f t="shared" si="37"/>
        <v>Uncle Brickers</v>
      </c>
      <c r="B21" s="44">
        <f t="shared" si="37"/>
        <v>1</v>
      </c>
      <c r="C21" s="44">
        <f t="shared" si="37"/>
        <v>2</v>
      </c>
      <c r="D21" s="86" t="s">
        <v>30</v>
      </c>
      <c r="E21" s="96">
        <v>2</v>
      </c>
      <c r="F21" s="96">
        <v>4</v>
      </c>
      <c r="G21" s="96">
        <v>0</v>
      </c>
      <c r="H21" s="96">
        <v>4</v>
      </c>
      <c r="I21" s="96">
        <f t="shared" si="33"/>
        <v>2</v>
      </c>
      <c r="J21" s="96">
        <f t="shared" si="33"/>
        <v>8</v>
      </c>
      <c r="K21" s="96">
        <v>0</v>
      </c>
      <c r="L21" s="96">
        <v>0</v>
      </c>
      <c r="M21" s="96">
        <v>3</v>
      </c>
      <c r="N21" s="96">
        <v>7</v>
      </c>
      <c r="O21" s="96">
        <f t="shared" si="34"/>
        <v>4</v>
      </c>
      <c r="P21" s="96">
        <f t="shared" si="35"/>
        <v>10</v>
      </c>
      <c r="Q21" s="96">
        <v>10</v>
      </c>
      <c r="R21" s="96">
        <v>0</v>
      </c>
      <c r="S21" s="96">
        <v>4</v>
      </c>
      <c r="T21" s="96">
        <v>1</v>
      </c>
      <c r="U21" s="96">
        <v>0</v>
      </c>
      <c r="V21" s="97">
        <f t="shared" si="28"/>
        <v>0.25</v>
      </c>
      <c r="W21" s="97">
        <f t="shared" si="36"/>
        <v>0.25</v>
      </c>
      <c r="X21" s="97">
        <f t="shared" si="29"/>
        <v>0</v>
      </c>
      <c r="Y21" s="97">
        <f t="shared" si="30"/>
        <v>0.5</v>
      </c>
      <c r="Z21" s="97">
        <f t="shared" si="31"/>
        <v>0</v>
      </c>
      <c r="AA21" s="98">
        <f t="shared" si="32"/>
        <v>13.4</v>
      </c>
      <c r="AB21" s="46" t="str">
        <f t="shared" si="38"/>
        <v>REG</v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26"/>
      <c r="JZ21" s="24"/>
      <c r="KA21" s="24"/>
      <c r="KB21" s="24"/>
      <c r="KC21" s="24"/>
      <c r="KD21" s="24"/>
      <c r="KE21" s="24"/>
      <c r="KF21" s="24"/>
      <c r="KG21" s="24"/>
      <c r="KH21" s="24"/>
      <c r="KI21" s="24"/>
      <c r="KJ21" s="24"/>
      <c r="KK21" s="24"/>
      <c r="KL21" s="24"/>
      <c r="KM21" s="24"/>
      <c r="KN21" s="24"/>
      <c r="KO21" s="24"/>
      <c r="KP21" s="24"/>
      <c r="KQ21" s="22"/>
      <c r="KR21" s="22"/>
      <c r="KS21" s="22"/>
      <c r="KT21" s="22"/>
      <c r="KU21" s="23"/>
      <c r="KV21" s="26"/>
      <c r="KW21" s="24"/>
      <c r="KX21" s="24"/>
      <c r="KY21" s="24"/>
      <c r="KZ21" s="24"/>
      <c r="LA21" s="24"/>
      <c r="LB21" s="24"/>
      <c r="LC21" s="24"/>
      <c r="LD21" s="24"/>
      <c r="LE21" s="24"/>
      <c r="LF21" s="24"/>
      <c r="LG21" s="24"/>
      <c r="LH21" s="24"/>
      <c r="LI21" s="24"/>
      <c r="LJ21" s="24"/>
      <c r="LK21" s="24"/>
      <c r="LL21" s="24"/>
      <c r="LM21" s="24"/>
      <c r="LN21" s="22"/>
      <c r="LO21" s="22"/>
      <c r="LP21" s="22"/>
      <c r="LQ21" s="22"/>
      <c r="LR21" s="23"/>
      <c r="LS21" s="26"/>
      <c r="LT21" s="24"/>
      <c r="LU21" s="24"/>
      <c r="LV21" s="24"/>
      <c r="LW21" s="24"/>
      <c r="LX21" s="24"/>
      <c r="LY21" s="24"/>
      <c r="LZ21" s="24"/>
      <c r="MA21" s="24"/>
      <c r="MB21" s="24"/>
      <c r="MC21" s="24"/>
      <c r="MD21" s="24"/>
      <c r="ME21" s="24"/>
      <c r="MF21" s="24"/>
      <c r="MG21" s="24"/>
      <c r="MH21" s="24"/>
      <c r="MI21" s="24"/>
      <c r="MJ21" s="24"/>
      <c r="MK21" s="22"/>
      <c r="ML21" s="22"/>
      <c r="MM21" s="22"/>
      <c r="MN21" s="22"/>
      <c r="MO21" s="23"/>
      <c r="MP21" s="26"/>
      <c r="MQ21" s="24"/>
      <c r="MR21" s="24"/>
      <c r="MS21" s="24"/>
      <c r="MT21" s="24"/>
      <c r="MU21" s="24"/>
      <c r="MV21" s="24"/>
      <c r="MW21" s="24"/>
      <c r="MX21" s="24"/>
      <c r="MY21" s="24"/>
      <c r="MZ21" s="24"/>
      <c r="NA21" s="24"/>
      <c r="NB21" s="24"/>
      <c r="NC21" s="24"/>
      <c r="ND21" s="24"/>
      <c r="NE21" s="24"/>
      <c r="NF21" s="24"/>
      <c r="NG21" s="24"/>
      <c r="NH21" s="22"/>
      <c r="NI21" s="22"/>
      <c r="NJ21" s="22"/>
      <c r="NK21" s="22"/>
      <c r="NL21" s="23"/>
      <c r="NM21" s="26"/>
      <c r="NN21" s="24"/>
      <c r="NO21" s="24"/>
      <c r="NP21" s="24"/>
      <c r="NQ21" s="24"/>
      <c r="NR21" s="24"/>
      <c r="NS21" s="24"/>
      <c r="NT21" s="24"/>
      <c r="NU21" s="24"/>
      <c r="NV21" s="24"/>
      <c r="NW21" s="24"/>
      <c r="NX21" s="24"/>
      <c r="NY21" s="24"/>
      <c r="NZ21" s="24"/>
      <c r="OA21" s="24"/>
      <c r="OB21" s="24"/>
      <c r="OC21" s="24"/>
      <c r="OD21" s="24"/>
      <c r="OE21" s="22"/>
      <c r="OF21" s="22"/>
      <c r="OG21" s="22"/>
      <c r="OH21" s="22"/>
      <c r="OI21" s="23"/>
      <c r="OJ21" s="26"/>
      <c r="OK21" s="24"/>
      <c r="OL21" s="24"/>
      <c r="OM21" s="24"/>
      <c r="ON21" s="24"/>
      <c r="OO21" s="24"/>
      <c r="OP21" s="24"/>
      <c r="OQ21" s="24"/>
      <c r="OR21" s="24"/>
      <c r="OS21" s="24"/>
      <c r="OT21" s="24"/>
      <c r="OU21" s="24"/>
      <c r="OV21" s="24"/>
      <c r="OW21" s="24"/>
      <c r="OX21" s="24"/>
      <c r="OY21" s="24"/>
      <c r="OZ21" s="24"/>
      <c r="PA21" s="24"/>
      <c r="PB21" s="22"/>
      <c r="PC21" s="22"/>
      <c r="PD21" s="22"/>
      <c r="PE21" s="22"/>
      <c r="PF21" s="23"/>
      <c r="PG21" s="26"/>
      <c r="PH21" s="24"/>
      <c r="PI21" s="24"/>
      <c r="PJ21" s="24"/>
      <c r="PK21" s="24"/>
      <c r="PL21" s="24"/>
      <c r="PM21" s="24"/>
      <c r="PN21" s="24"/>
      <c r="PO21" s="24"/>
      <c r="PP21" s="24"/>
      <c r="PQ21" s="24"/>
      <c r="PR21" s="24"/>
      <c r="PS21" s="24"/>
      <c r="PT21" s="24"/>
      <c r="PU21" s="24"/>
      <c r="PV21" s="24"/>
      <c r="PW21" s="24"/>
      <c r="PX21" s="24"/>
      <c r="PY21" s="22"/>
      <c r="PZ21" s="22"/>
      <c r="QA21" s="22"/>
      <c r="QB21" s="22"/>
      <c r="QC21" s="23"/>
      <c r="QD21" s="26"/>
      <c r="QE21" s="24"/>
      <c r="QF21" s="24"/>
      <c r="QG21" s="24"/>
      <c r="QH21" s="24"/>
      <c r="QI21" s="24"/>
      <c r="QJ21" s="24"/>
      <c r="QK21" s="24"/>
      <c r="QL21" s="24"/>
      <c r="QM21" s="24"/>
      <c r="QN21" s="24"/>
      <c r="QO21" s="24"/>
      <c r="QP21" s="24"/>
      <c r="QQ21" s="24"/>
      <c r="QR21" s="24"/>
      <c r="QS21" s="24"/>
      <c r="QT21" s="24"/>
      <c r="QU21" s="24"/>
      <c r="QV21" s="22"/>
      <c r="QW21" s="22"/>
      <c r="QX21" s="22"/>
      <c r="QY21" s="22"/>
      <c r="QZ21" s="23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</row>
    <row r="22" spans="1:540" ht="39.950000000000003" customHeight="1" x14ac:dyDescent="0.5">
      <c r="A22" s="44" t="str">
        <f t="shared" si="37"/>
        <v>Uncle Brickers</v>
      </c>
      <c r="B22" s="44">
        <f t="shared" si="37"/>
        <v>1</v>
      </c>
      <c r="C22" s="44">
        <f t="shared" si="37"/>
        <v>2</v>
      </c>
      <c r="D22" s="86" t="s">
        <v>41</v>
      </c>
      <c r="E22" s="99">
        <v>0</v>
      </c>
      <c r="F22" s="99">
        <v>1</v>
      </c>
      <c r="G22" s="99">
        <v>1</v>
      </c>
      <c r="H22" s="99">
        <v>6</v>
      </c>
      <c r="I22" s="99">
        <f t="shared" si="33"/>
        <v>1</v>
      </c>
      <c r="J22" s="99">
        <f t="shared" si="33"/>
        <v>7</v>
      </c>
      <c r="K22" s="99">
        <v>0</v>
      </c>
      <c r="L22" s="99">
        <v>0</v>
      </c>
      <c r="M22" s="99">
        <v>0</v>
      </c>
      <c r="N22" s="99">
        <v>1</v>
      </c>
      <c r="O22" s="99">
        <f t="shared" si="34"/>
        <v>3</v>
      </c>
      <c r="P22" s="99">
        <f t="shared" si="35"/>
        <v>1</v>
      </c>
      <c r="Q22" s="99">
        <v>3</v>
      </c>
      <c r="R22" s="99">
        <v>0</v>
      </c>
      <c r="S22" s="99">
        <v>4</v>
      </c>
      <c r="T22" s="99">
        <v>2</v>
      </c>
      <c r="U22" s="99">
        <v>1</v>
      </c>
      <c r="V22" s="100">
        <f t="shared" si="28"/>
        <v>0.14285714285714285</v>
      </c>
      <c r="W22" s="100">
        <f t="shared" si="36"/>
        <v>0.21428571428571427</v>
      </c>
      <c r="X22" s="100">
        <f t="shared" si="29"/>
        <v>0</v>
      </c>
      <c r="Y22" s="100">
        <f t="shared" si="30"/>
        <v>0</v>
      </c>
      <c r="Z22" s="100">
        <f t="shared" si="31"/>
        <v>0.16666666666666666</v>
      </c>
      <c r="AA22" s="101">
        <f t="shared" si="32"/>
        <v>2.5</v>
      </c>
      <c r="AB22" s="46" t="str">
        <f t="shared" si="38"/>
        <v>REG</v>
      </c>
      <c r="FU22" s="35"/>
      <c r="FV22" s="35"/>
      <c r="FW22" s="35"/>
      <c r="FX22" s="36"/>
    </row>
    <row r="23" spans="1:540" ht="39.950000000000003" customHeight="1" x14ac:dyDescent="0.5">
      <c r="A23" s="44" t="str">
        <f t="shared" ref="A23:C24" si="39">A21</f>
        <v>Uncle Brickers</v>
      </c>
      <c r="B23" s="44">
        <f t="shared" si="39"/>
        <v>1</v>
      </c>
      <c r="C23" s="44">
        <f t="shared" si="39"/>
        <v>2</v>
      </c>
      <c r="D23" s="86" t="s">
        <v>42</v>
      </c>
      <c r="E23" s="102">
        <v>2</v>
      </c>
      <c r="F23" s="102">
        <v>6</v>
      </c>
      <c r="G23" s="102">
        <v>1</v>
      </c>
      <c r="H23" s="102">
        <v>1</v>
      </c>
      <c r="I23" s="102">
        <f t="shared" si="33"/>
        <v>3</v>
      </c>
      <c r="J23" s="102">
        <f t="shared" si="33"/>
        <v>7</v>
      </c>
      <c r="K23" s="102">
        <v>0</v>
      </c>
      <c r="L23" s="102">
        <v>0</v>
      </c>
      <c r="M23" s="102">
        <v>3</v>
      </c>
      <c r="N23" s="102">
        <v>8</v>
      </c>
      <c r="O23" s="102">
        <f t="shared" si="34"/>
        <v>7</v>
      </c>
      <c r="P23" s="102">
        <f t="shared" si="35"/>
        <v>11</v>
      </c>
      <c r="Q23" s="102">
        <v>1</v>
      </c>
      <c r="R23" s="102">
        <v>0</v>
      </c>
      <c r="S23" s="102">
        <v>2</v>
      </c>
      <c r="T23" s="102">
        <v>1</v>
      </c>
      <c r="U23" s="102">
        <v>3</v>
      </c>
      <c r="V23" s="103">
        <f t="shared" si="28"/>
        <v>0.42857142857142855</v>
      </c>
      <c r="W23" s="103">
        <f t="shared" si="36"/>
        <v>0.5</v>
      </c>
      <c r="X23" s="103">
        <f t="shared" si="29"/>
        <v>0</v>
      </c>
      <c r="Y23" s="103">
        <f t="shared" si="30"/>
        <v>0.33333333333333331</v>
      </c>
      <c r="Z23" s="103">
        <f t="shared" si="31"/>
        <v>1</v>
      </c>
      <c r="AA23" s="104">
        <f t="shared" si="32"/>
        <v>8.2999999999999972</v>
      </c>
      <c r="AB23" s="46" t="str">
        <f>AB22</f>
        <v>REG</v>
      </c>
      <c r="AC23" s="26"/>
      <c r="FU23" s="35"/>
      <c r="FV23" s="35"/>
      <c r="FW23" s="35"/>
      <c r="FX23" s="36"/>
    </row>
    <row r="24" spans="1:540" ht="39.950000000000003" customHeight="1" x14ac:dyDescent="0.5">
      <c r="A24" s="44" t="str">
        <f t="shared" si="39"/>
        <v>Uncle Brickers</v>
      </c>
      <c r="B24" s="44">
        <f t="shared" si="39"/>
        <v>1</v>
      </c>
      <c r="C24" s="44">
        <f t="shared" si="39"/>
        <v>2</v>
      </c>
      <c r="D24" s="86" t="s">
        <v>32</v>
      </c>
      <c r="E24" s="105">
        <f>SUM(E18:E23)</f>
        <v>26</v>
      </c>
      <c r="F24" s="105">
        <f t="shared" ref="F24:U24" si="40">SUM(F18:F23)</f>
        <v>40</v>
      </c>
      <c r="G24" s="105">
        <f t="shared" si="40"/>
        <v>9</v>
      </c>
      <c r="H24" s="105">
        <f t="shared" si="40"/>
        <v>34</v>
      </c>
      <c r="I24" s="105">
        <f t="shared" si="40"/>
        <v>35</v>
      </c>
      <c r="J24" s="105">
        <f t="shared" si="40"/>
        <v>74</v>
      </c>
      <c r="K24" s="105">
        <f t="shared" si="40"/>
        <v>1</v>
      </c>
      <c r="L24" s="105">
        <f t="shared" si="40"/>
        <v>5</v>
      </c>
      <c r="M24" s="105">
        <f t="shared" si="40"/>
        <v>13</v>
      </c>
      <c r="N24" s="105">
        <f t="shared" si="40"/>
        <v>25</v>
      </c>
      <c r="O24" s="105">
        <f t="shared" si="40"/>
        <v>80</v>
      </c>
      <c r="P24" s="105">
        <f t="shared" si="40"/>
        <v>38</v>
      </c>
      <c r="Q24" s="105">
        <f t="shared" si="40"/>
        <v>26</v>
      </c>
      <c r="R24" s="105">
        <f t="shared" si="40"/>
        <v>1</v>
      </c>
      <c r="S24" s="105">
        <f t="shared" si="40"/>
        <v>17</v>
      </c>
      <c r="T24" s="105">
        <f t="shared" si="40"/>
        <v>9</v>
      </c>
      <c r="U24" s="105">
        <f t="shared" si="40"/>
        <v>9</v>
      </c>
      <c r="V24" s="106">
        <f t="shared" si="28"/>
        <v>0.47297297297297297</v>
      </c>
      <c r="W24" s="106">
        <f t="shared" si="36"/>
        <v>0.52493438320209973</v>
      </c>
      <c r="X24" s="106">
        <f t="shared" si="29"/>
        <v>0.2</v>
      </c>
      <c r="Y24" s="106">
        <f t="shared" si="30"/>
        <v>0.65</v>
      </c>
      <c r="Z24" s="106">
        <f t="shared" si="31"/>
        <v>0.26470588235294118</v>
      </c>
      <c r="AA24" s="107">
        <f>AVERAGE(AA18:AA23)</f>
        <v>13.416666666666666</v>
      </c>
      <c r="AB24" s="46" t="str">
        <f>AB23</f>
        <v>REG</v>
      </c>
      <c r="AC24" s="23"/>
      <c r="AH24" s="28"/>
      <c r="FU24" s="35"/>
      <c r="FV24" s="35"/>
      <c r="FW24" s="35"/>
      <c r="FX24" s="36"/>
    </row>
    <row r="25" spans="1:540" ht="39.950000000000003" customHeight="1" x14ac:dyDescent="0.55000000000000004">
      <c r="A25" s="44" t="s">
        <v>33</v>
      </c>
      <c r="B25" s="44">
        <f t="shared" ref="B25:C25" si="41">B24</f>
        <v>1</v>
      </c>
      <c r="C25" s="44">
        <f t="shared" si="41"/>
        <v>2</v>
      </c>
      <c r="D25" s="82" t="s">
        <v>43</v>
      </c>
      <c r="E25" s="83"/>
      <c r="F25" s="83"/>
      <c r="G25" s="83"/>
      <c r="H25" s="83"/>
      <c r="I25" s="83"/>
      <c r="J25" s="83"/>
      <c r="K25" s="83"/>
      <c r="L25" s="83"/>
      <c r="M25" s="83"/>
      <c r="N25" s="83"/>
      <c r="O25" s="83">
        <v>40</v>
      </c>
      <c r="P25" s="83"/>
      <c r="Q25" s="83"/>
      <c r="R25" s="83"/>
      <c r="S25" s="83"/>
      <c r="T25" s="83"/>
      <c r="U25" s="83"/>
      <c r="V25" s="83"/>
      <c r="W25" s="83"/>
      <c r="X25" s="83"/>
      <c r="Y25" s="83"/>
      <c r="Z25" s="83"/>
      <c r="AA25" s="83"/>
      <c r="AB25" s="46" t="str">
        <f t="shared" si="38"/>
        <v>REG</v>
      </c>
      <c r="AC25" s="23"/>
      <c r="AH25" s="18"/>
      <c r="AI25" s="18"/>
      <c r="AJ25" s="18"/>
      <c r="AK25" s="18"/>
      <c r="AL25" s="18"/>
      <c r="AM25" s="18"/>
      <c r="AN25" s="18"/>
      <c r="AO25" s="18"/>
      <c r="AP25" s="18"/>
      <c r="AQ25" s="37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FU25" s="35"/>
      <c r="FV25" s="35"/>
      <c r="FW25" s="35"/>
      <c r="FX25" s="36"/>
    </row>
    <row r="26" spans="1:540" ht="39.950000000000003" customHeight="1" x14ac:dyDescent="0.5">
      <c r="A26" s="44" t="str">
        <f>D32</f>
        <v>Monstars</v>
      </c>
      <c r="B26" s="44">
        <v>1</v>
      </c>
      <c r="C26" s="44">
        <v>3</v>
      </c>
      <c r="D26" s="86" t="s">
        <v>36</v>
      </c>
      <c r="E26" s="87">
        <v>8</v>
      </c>
      <c r="F26" s="87">
        <v>17</v>
      </c>
      <c r="G26" s="87">
        <v>1</v>
      </c>
      <c r="H26" s="87">
        <v>6</v>
      </c>
      <c r="I26" s="87">
        <f>E26+G26</f>
        <v>9</v>
      </c>
      <c r="J26" s="87">
        <f>F26+H26</f>
        <v>23</v>
      </c>
      <c r="K26" s="87">
        <v>1</v>
      </c>
      <c r="L26" s="87">
        <v>2</v>
      </c>
      <c r="M26" s="87">
        <v>2</v>
      </c>
      <c r="N26" s="87">
        <v>3</v>
      </c>
      <c r="O26" s="87">
        <f>E26*2+G26*3+K26</f>
        <v>20</v>
      </c>
      <c r="P26" s="87">
        <f>M26+N26</f>
        <v>5</v>
      </c>
      <c r="Q26" s="87">
        <v>3</v>
      </c>
      <c r="R26" s="87">
        <v>0</v>
      </c>
      <c r="S26" s="87">
        <v>1</v>
      </c>
      <c r="T26" s="87">
        <v>2</v>
      </c>
      <c r="U26" s="87">
        <v>0</v>
      </c>
      <c r="V26" s="88">
        <f t="shared" ref="V26:V31" si="42">IFERROR(I26/J26,0)</f>
        <v>0.39130434782608697</v>
      </c>
      <c r="W26" s="88">
        <f>IFERROR(O26/(2*(J26+0.44*L26)), 0)</f>
        <v>0.41876046901172531</v>
      </c>
      <c r="X26" s="88">
        <f t="shared" ref="X26:X31" si="43">IFERROR(K26/L26,0)</f>
        <v>0.5</v>
      </c>
      <c r="Y26" s="88">
        <f t="shared" ref="Y26:Y31" si="44">IFERROR(E26/F26,0)</f>
        <v>0.47058823529411764</v>
      </c>
      <c r="Z26" s="88">
        <f t="shared" ref="Z26:Z31" si="45">IFERROR(G26/H26,0)</f>
        <v>0.16666666666666666</v>
      </c>
      <c r="AA26" s="89">
        <f>(O26)+(0.4*I26)-(0.7*J26)-(0.4*(L26-K26))+(0.7*M26)+(0.3*N26)+S26+(0.7*Q26)+(0.7*R26)-(0.4*U26)-T26</f>
        <v>10.500000000000004</v>
      </c>
      <c r="AB26" s="167" t="s">
        <v>27</v>
      </c>
      <c r="AC26" s="23"/>
      <c r="AH26" s="18"/>
      <c r="AI26" s="17"/>
      <c r="AJ26" s="17"/>
      <c r="AK26" s="17"/>
      <c r="AL26" s="17"/>
      <c r="AM26" s="17"/>
      <c r="AN26" s="17"/>
      <c r="AO26" s="17"/>
      <c r="AP26" s="17"/>
      <c r="AQ26" s="17"/>
      <c r="AR26" s="38"/>
      <c r="AS26" s="38"/>
      <c r="AT26" s="38"/>
      <c r="AU26" s="38"/>
      <c r="AV26" s="38"/>
      <c r="AW26" s="38"/>
      <c r="AX26" s="38"/>
      <c r="AY26" s="38"/>
      <c r="AZ26" s="39"/>
      <c r="BA26" s="39"/>
      <c r="BB26" s="39"/>
      <c r="BC26" s="39"/>
      <c r="FU26" s="35"/>
      <c r="FV26" s="35"/>
      <c r="FW26" s="35"/>
      <c r="FX26" s="36"/>
    </row>
    <row r="27" spans="1:540" ht="39.75" customHeight="1" x14ac:dyDescent="0.5">
      <c r="A27" s="44" t="str">
        <f>A26</f>
        <v>Monstars</v>
      </c>
      <c r="B27" s="44">
        <f>B26</f>
        <v>1</v>
      </c>
      <c r="C27" s="44">
        <f>C26</f>
        <v>3</v>
      </c>
      <c r="D27" s="86" t="s">
        <v>28</v>
      </c>
      <c r="E27" s="90">
        <v>2</v>
      </c>
      <c r="F27" s="90">
        <v>3</v>
      </c>
      <c r="G27" s="90">
        <v>4</v>
      </c>
      <c r="H27" s="90">
        <v>17</v>
      </c>
      <c r="I27" s="90">
        <f t="shared" ref="I27:J30" si="46">E27+G27</f>
        <v>6</v>
      </c>
      <c r="J27" s="90">
        <f t="shared" si="46"/>
        <v>20</v>
      </c>
      <c r="K27" s="90">
        <v>1</v>
      </c>
      <c r="L27" s="90">
        <v>2</v>
      </c>
      <c r="M27" s="90">
        <v>1</v>
      </c>
      <c r="N27" s="90">
        <v>3</v>
      </c>
      <c r="O27" s="90">
        <f t="shared" ref="O27:O30" si="47">E27*2+G27*3+K27</f>
        <v>17</v>
      </c>
      <c r="P27" s="90">
        <f t="shared" ref="P27:P30" si="48">M27+N27</f>
        <v>4</v>
      </c>
      <c r="Q27" s="90">
        <v>1</v>
      </c>
      <c r="R27" s="90">
        <v>0</v>
      </c>
      <c r="S27" s="90">
        <v>4</v>
      </c>
      <c r="T27" s="90">
        <v>2</v>
      </c>
      <c r="U27" s="90">
        <v>2</v>
      </c>
      <c r="V27" s="91">
        <f t="shared" si="42"/>
        <v>0.3</v>
      </c>
      <c r="W27" s="91">
        <f t="shared" ref="W27:W31" si="49">IFERROR(O27/(2*(J27+0.44*L27)), 0)</f>
        <v>0.40708812260536398</v>
      </c>
      <c r="X27" s="91">
        <f t="shared" si="43"/>
        <v>0.5</v>
      </c>
      <c r="Y27" s="91">
        <f t="shared" si="44"/>
        <v>0.66666666666666663</v>
      </c>
      <c r="Z27" s="91">
        <f t="shared" si="45"/>
        <v>0.23529411764705882</v>
      </c>
      <c r="AA27" s="92">
        <f>(O27)+(0.4*I27)-(0.7*J27)-(0.4*(L27-K27))+(0.7*M27)+(0.3*N27)+S27+(0.7*Q27)+(0.7*R27)-(0.4*U27)-T27</f>
        <v>8.4999999999999964</v>
      </c>
      <c r="AB27" s="46" t="str">
        <f>AB26</f>
        <v>REG</v>
      </c>
      <c r="AC27" s="23"/>
      <c r="AH27" s="18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20"/>
      <c r="BA27" s="20"/>
      <c r="BB27" s="20"/>
      <c r="BC27" s="20"/>
      <c r="FU27" s="35"/>
      <c r="FV27" s="35"/>
      <c r="FW27" s="35"/>
      <c r="FX27" s="36"/>
    </row>
    <row r="28" spans="1:540" s="42" customFormat="1" ht="39.950000000000003" customHeight="1" x14ac:dyDescent="0.5">
      <c r="A28" s="44" t="str">
        <f t="shared" ref="A28:C30" si="50">A27</f>
        <v>Monstars</v>
      </c>
      <c r="B28" s="44">
        <f t="shared" si="50"/>
        <v>1</v>
      </c>
      <c r="C28" s="44">
        <f t="shared" si="50"/>
        <v>3</v>
      </c>
      <c r="D28" s="86" t="s">
        <v>29</v>
      </c>
      <c r="E28" s="93">
        <v>0</v>
      </c>
      <c r="F28" s="93">
        <v>1</v>
      </c>
      <c r="G28" s="93">
        <v>1</v>
      </c>
      <c r="H28" s="93">
        <v>4</v>
      </c>
      <c r="I28" s="93">
        <f t="shared" si="46"/>
        <v>1</v>
      </c>
      <c r="J28" s="93">
        <f t="shared" si="46"/>
        <v>5</v>
      </c>
      <c r="K28" s="93">
        <v>0</v>
      </c>
      <c r="L28" s="93">
        <v>0</v>
      </c>
      <c r="M28" s="93">
        <v>6</v>
      </c>
      <c r="N28" s="93">
        <v>9</v>
      </c>
      <c r="O28" s="93">
        <f t="shared" si="47"/>
        <v>3</v>
      </c>
      <c r="P28" s="93">
        <f t="shared" si="48"/>
        <v>15</v>
      </c>
      <c r="Q28" s="93">
        <v>3</v>
      </c>
      <c r="R28" s="93">
        <v>0</v>
      </c>
      <c r="S28" s="93">
        <v>0</v>
      </c>
      <c r="T28" s="93">
        <v>1</v>
      </c>
      <c r="U28" s="93">
        <v>0</v>
      </c>
      <c r="V28" s="94">
        <f t="shared" si="42"/>
        <v>0.2</v>
      </c>
      <c r="W28" s="94">
        <f t="shared" si="49"/>
        <v>0.3</v>
      </c>
      <c r="X28" s="94">
        <f t="shared" si="43"/>
        <v>0</v>
      </c>
      <c r="Y28" s="94">
        <f t="shared" si="44"/>
        <v>0</v>
      </c>
      <c r="Z28" s="94">
        <f t="shared" si="45"/>
        <v>0.25</v>
      </c>
      <c r="AA28" s="95">
        <f>(O28)+(0.4*I28)-(0.7*J28)-(0.4*(L28-K28))+(0.7*M28)+(0.3*N28)+S28+(0.7*Q28)+(0.7*R28)-(0.4*U28)-T28</f>
        <v>7.8999999999999986</v>
      </c>
      <c r="AB28" s="46" t="str">
        <f t="shared" ref="AB28:AB32" si="51">AB27</f>
        <v>REG</v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26"/>
      <c r="JZ28" s="24"/>
      <c r="KA28" s="24"/>
      <c r="KB28" s="24"/>
      <c r="KC28" s="24"/>
      <c r="KD28" s="24"/>
      <c r="KE28" s="24"/>
      <c r="KF28" s="24"/>
      <c r="KG28" s="24"/>
      <c r="KH28" s="24"/>
      <c r="KI28" s="24"/>
      <c r="KJ28" s="24"/>
      <c r="KK28" s="24"/>
      <c r="KL28" s="24"/>
      <c r="KM28" s="24"/>
      <c r="KN28" s="24"/>
      <c r="KO28" s="24"/>
      <c r="KP28" s="24"/>
      <c r="KQ28" s="22"/>
      <c r="KR28" s="22"/>
      <c r="KS28" s="22"/>
      <c r="KT28" s="22"/>
      <c r="KU28" s="23"/>
      <c r="KV28" s="26"/>
      <c r="KW28" s="24"/>
      <c r="KX28" s="24"/>
      <c r="KY28" s="24"/>
      <c r="KZ28" s="24"/>
      <c r="LA28" s="24"/>
      <c r="LB28" s="24"/>
      <c r="LC28" s="24"/>
      <c r="LD28" s="24"/>
      <c r="LE28" s="24"/>
      <c r="LF28" s="24"/>
      <c r="LG28" s="24"/>
      <c r="LH28" s="24"/>
      <c r="LI28" s="24"/>
      <c r="LJ28" s="24"/>
      <c r="LK28" s="24"/>
      <c r="LL28" s="24"/>
      <c r="LM28" s="24"/>
      <c r="LN28" s="22"/>
      <c r="LO28" s="22"/>
      <c r="LP28" s="22"/>
      <c r="LQ28" s="22"/>
      <c r="LR28" s="23"/>
      <c r="LS28" s="26"/>
      <c r="LT28" s="24"/>
      <c r="LU28" s="24"/>
      <c r="LV28" s="24"/>
      <c r="LW28" s="24"/>
      <c r="LX28" s="24"/>
      <c r="LY28" s="24"/>
      <c r="LZ28" s="24"/>
      <c r="MA28" s="24"/>
      <c r="MB28" s="24"/>
      <c r="MC28" s="24"/>
      <c r="MD28" s="24"/>
      <c r="ME28" s="24"/>
      <c r="MF28" s="24"/>
      <c r="MG28" s="24"/>
      <c r="MH28" s="24"/>
      <c r="MI28" s="24"/>
      <c r="MJ28" s="24"/>
      <c r="MK28" s="22"/>
      <c r="ML28" s="22"/>
      <c r="MM28" s="22"/>
      <c r="MN28" s="22"/>
      <c r="MO28" s="23"/>
      <c r="MP28" s="26"/>
      <c r="MQ28" s="24"/>
      <c r="MR28" s="24"/>
      <c r="MS28" s="24"/>
      <c r="MT28" s="24"/>
      <c r="MU28" s="24"/>
      <c r="MV28" s="24"/>
      <c r="MW28" s="24"/>
      <c r="MX28" s="24"/>
      <c r="MY28" s="24"/>
      <c r="MZ28" s="24"/>
      <c r="NA28" s="24"/>
      <c r="NB28" s="24"/>
      <c r="NC28" s="24"/>
      <c r="ND28" s="24"/>
      <c r="NE28" s="24"/>
      <c r="NF28" s="24"/>
      <c r="NG28" s="24"/>
      <c r="NH28" s="22"/>
      <c r="NI28" s="22"/>
      <c r="NJ28" s="22"/>
      <c r="NK28" s="22"/>
      <c r="NL28" s="23"/>
      <c r="NM28" s="26"/>
      <c r="NN28" s="24"/>
      <c r="NO28" s="24"/>
      <c r="NP28" s="24"/>
      <c r="NQ28" s="24"/>
      <c r="NR28" s="24"/>
      <c r="NS28" s="24"/>
      <c r="NT28" s="24"/>
      <c r="NU28" s="24"/>
      <c r="NV28" s="24"/>
      <c r="NW28" s="24"/>
      <c r="NX28" s="24"/>
      <c r="NY28" s="24"/>
      <c r="NZ28" s="24"/>
      <c r="OA28" s="24"/>
      <c r="OB28" s="24"/>
      <c r="OC28" s="24"/>
      <c r="OD28" s="24"/>
      <c r="OE28" s="22"/>
      <c r="OF28" s="22"/>
      <c r="OG28" s="22"/>
      <c r="OH28" s="22"/>
      <c r="OI28" s="23"/>
      <c r="OJ28" s="26"/>
      <c r="OK28" s="24"/>
      <c r="OL28" s="24"/>
      <c r="OM28" s="24"/>
      <c r="ON28" s="24"/>
      <c r="OO28" s="24"/>
      <c r="OP28" s="24"/>
      <c r="OQ28" s="24"/>
      <c r="OR28" s="24"/>
      <c r="OS28" s="24"/>
      <c r="OT28" s="24"/>
      <c r="OU28" s="24"/>
      <c r="OV28" s="24"/>
      <c r="OW28" s="24"/>
      <c r="OX28" s="24"/>
      <c r="OY28" s="24"/>
      <c r="OZ28" s="24"/>
      <c r="PA28" s="24"/>
      <c r="PB28" s="22"/>
      <c r="PC28" s="22"/>
      <c r="PD28" s="22"/>
      <c r="PE28" s="22"/>
      <c r="PF28" s="23"/>
      <c r="PG28" s="26"/>
      <c r="PH28" s="24"/>
      <c r="PI28" s="24"/>
      <c r="PJ28" s="24"/>
      <c r="PK28" s="24"/>
      <c r="PL28" s="24"/>
      <c r="PM28" s="24"/>
      <c r="PN28" s="24"/>
      <c r="PO28" s="24"/>
      <c r="PP28" s="24"/>
      <c r="PQ28" s="24"/>
      <c r="PR28" s="24"/>
      <c r="PS28" s="24"/>
      <c r="PT28" s="24"/>
      <c r="PU28" s="24"/>
      <c r="PV28" s="24"/>
      <c r="PW28" s="24"/>
      <c r="PX28" s="24"/>
      <c r="PY28" s="22"/>
      <c r="PZ28" s="22"/>
      <c r="QA28" s="22"/>
      <c r="QB28" s="22"/>
      <c r="QC28" s="23"/>
      <c r="QD28" s="26"/>
      <c r="QE28" s="24"/>
      <c r="QF28" s="24"/>
      <c r="QG28" s="24"/>
      <c r="QH28" s="24"/>
      <c r="QI28" s="24"/>
      <c r="QJ28" s="24"/>
      <c r="QK28" s="24"/>
      <c r="QL28" s="24"/>
      <c r="QM28" s="24"/>
      <c r="QN28" s="24"/>
      <c r="QO28" s="24"/>
      <c r="QP28" s="24"/>
      <c r="QQ28" s="24"/>
      <c r="QR28" s="24"/>
      <c r="QS28" s="24"/>
      <c r="QT28" s="24"/>
      <c r="QU28" s="24"/>
      <c r="QV28" s="22"/>
      <c r="QW28" s="22"/>
      <c r="QX28" s="22"/>
      <c r="QY28" s="22"/>
      <c r="QZ28" s="23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</row>
    <row r="29" spans="1:540" ht="39.950000000000003" customHeight="1" x14ac:dyDescent="0.5">
      <c r="A29" s="44" t="str">
        <f t="shared" si="50"/>
        <v>Monstars</v>
      </c>
      <c r="B29" s="44">
        <f t="shared" si="50"/>
        <v>1</v>
      </c>
      <c r="C29" s="44">
        <f t="shared" si="50"/>
        <v>3</v>
      </c>
      <c r="D29" s="86" t="s">
        <v>45</v>
      </c>
      <c r="E29" s="96">
        <v>4</v>
      </c>
      <c r="F29" s="96">
        <v>9</v>
      </c>
      <c r="G29" s="96">
        <v>0</v>
      </c>
      <c r="H29" s="96">
        <v>2</v>
      </c>
      <c r="I29" s="96">
        <f t="shared" si="46"/>
        <v>4</v>
      </c>
      <c r="J29" s="96">
        <f t="shared" si="46"/>
        <v>11</v>
      </c>
      <c r="K29" s="96">
        <v>1</v>
      </c>
      <c r="L29" s="96">
        <v>3</v>
      </c>
      <c r="M29" s="96">
        <v>5</v>
      </c>
      <c r="N29" s="96">
        <v>14</v>
      </c>
      <c r="O29" s="96">
        <f t="shared" si="47"/>
        <v>9</v>
      </c>
      <c r="P29" s="96">
        <f t="shared" si="48"/>
        <v>19</v>
      </c>
      <c r="Q29" s="96">
        <v>2</v>
      </c>
      <c r="R29" s="96">
        <v>2</v>
      </c>
      <c r="S29" s="96">
        <v>1</v>
      </c>
      <c r="T29" s="96">
        <v>0</v>
      </c>
      <c r="U29" s="96">
        <v>1</v>
      </c>
      <c r="V29" s="97">
        <f t="shared" si="42"/>
        <v>0.36363636363636365</v>
      </c>
      <c r="W29" s="97">
        <f t="shared" si="49"/>
        <v>0.36525974025974023</v>
      </c>
      <c r="X29" s="97">
        <f t="shared" si="43"/>
        <v>0.33333333333333331</v>
      </c>
      <c r="Y29" s="97">
        <f t="shared" si="44"/>
        <v>0.44444444444444442</v>
      </c>
      <c r="Z29" s="97">
        <f t="shared" si="45"/>
        <v>0</v>
      </c>
      <c r="AA29" s="98">
        <f>(O29)+(0.4*I29)-(0.7*J29)-(0.4*(L29-K29))+(0.7*M29)+(0.3*N29)+S29+(0.7*Q29)+(0.7*R29)-(0.4*U29)-T29</f>
        <v>13.200000000000001</v>
      </c>
      <c r="AB29" s="46" t="str">
        <f t="shared" si="51"/>
        <v>REG</v>
      </c>
      <c r="AC29" s="34"/>
      <c r="FU29" s="35"/>
      <c r="FV29" s="35"/>
      <c r="FW29" s="35"/>
      <c r="FX29" s="36"/>
    </row>
    <row r="30" spans="1:540" ht="39.950000000000003" customHeight="1" x14ac:dyDescent="0.5">
      <c r="A30" s="44" t="str">
        <f t="shared" si="50"/>
        <v>Monstars</v>
      </c>
      <c r="B30" s="44">
        <f t="shared" si="50"/>
        <v>1</v>
      </c>
      <c r="C30" s="44">
        <f t="shared" si="50"/>
        <v>3</v>
      </c>
      <c r="D30" s="86" t="s">
        <v>41</v>
      </c>
      <c r="E30" s="99">
        <v>1</v>
      </c>
      <c r="F30" s="99">
        <v>1</v>
      </c>
      <c r="G30" s="99">
        <v>2</v>
      </c>
      <c r="H30" s="99">
        <v>5</v>
      </c>
      <c r="I30" s="99">
        <f t="shared" si="46"/>
        <v>3</v>
      </c>
      <c r="J30" s="99">
        <f t="shared" si="46"/>
        <v>6</v>
      </c>
      <c r="K30" s="99">
        <v>0</v>
      </c>
      <c r="L30" s="99">
        <v>0</v>
      </c>
      <c r="M30" s="99">
        <v>1</v>
      </c>
      <c r="N30" s="99">
        <v>1</v>
      </c>
      <c r="O30" s="99">
        <f t="shared" si="47"/>
        <v>8</v>
      </c>
      <c r="P30" s="99">
        <f t="shared" si="48"/>
        <v>2</v>
      </c>
      <c r="Q30" s="99">
        <v>1</v>
      </c>
      <c r="R30" s="99">
        <v>0</v>
      </c>
      <c r="S30" s="99">
        <v>0</v>
      </c>
      <c r="T30" s="99">
        <v>0</v>
      </c>
      <c r="U30" s="99">
        <v>0</v>
      </c>
      <c r="V30" s="100">
        <f t="shared" si="42"/>
        <v>0.5</v>
      </c>
      <c r="W30" s="100">
        <f t="shared" si="49"/>
        <v>0.66666666666666663</v>
      </c>
      <c r="X30" s="100">
        <f t="shared" si="43"/>
        <v>0</v>
      </c>
      <c r="Y30" s="100">
        <f t="shared" si="44"/>
        <v>1</v>
      </c>
      <c r="Z30" s="100">
        <f t="shared" si="45"/>
        <v>0.4</v>
      </c>
      <c r="AA30" s="101">
        <f>(O30)+(0.4*I30)-(0.7*J30)-(0.4*(L30-K30))+(0.7*M30)+(0.3*N30)+S30+(0.7*Q30)+(0.7*R30)-(0.4*U30)-T30</f>
        <v>6.7</v>
      </c>
      <c r="AB30" s="46" t="str">
        <f t="shared" si="51"/>
        <v>REG</v>
      </c>
      <c r="AC30" s="40"/>
      <c r="FU30" s="36"/>
      <c r="FV30" s="36"/>
      <c r="FW30" s="36"/>
      <c r="FX30" s="36"/>
    </row>
    <row r="31" spans="1:540" ht="39.950000000000003" customHeight="1" x14ac:dyDescent="0.5">
      <c r="A31" s="44" t="str">
        <f>A30</f>
        <v>Monstars</v>
      </c>
      <c r="B31" s="44">
        <f>B30</f>
        <v>1</v>
      </c>
      <c r="C31" s="44">
        <f>C30</f>
        <v>3</v>
      </c>
      <c r="D31" s="86" t="s">
        <v>32</v>
      </c>
      <c r="E31" s="105">
        <f t="shared" ref="E31:U31" si="52">SUM(E26:E30)</f>
        <v>15</v>
      </c>
      <c r="F31" s="105">
        <f t="shared" si="52"/>
        <v>31</v>
      </c>
      <c r="G31" s="105">
        <f t="shared" si="52"/>
        <v>8</v>
      </c>
      <c r="H31" s="105">
        <f t="shared" si="52"/>
        <v>34</v>
      </c>
      <c r="I31" s="105">
        <f t="shared" si="52"/>
        <v>23</v>
      </c>
      <c r="J31" s="105">
        <f t="shared" si="52"/>
        <v>65</v>
      </c>
      <c r="K31" s="105">
        <f t="shared" si="52"/>
        <v>3</v>
      </c>
      <c r="L31" s="105">
        <f t="shared" si="52"/>
        <v>7</v>
      </c>
      <c r="M31" s="105">
        <f t="shared" si="52"/>
        <v>15</v>
      </c>
      <c r="N31" s="105">
        <f t="shared" si="52"/>
        <v>30</v>
      </c>
      <c r="O31" s="105">
        <f t="shared" si="52"/>
        <v>57</v>
      </c>
      <c r="P31" s="105">
        <f t="shared" si="52"/>
        <v>45</v>
      </c>
      <c r="Q31" s="105">
        <f t="shared" si="52"/>
        <v>10</v>
      </c>
      <c r="R31" s="105">
        <f t="shared" si="52"/>
        <v>2</v>
      </c>
      <c r="S31" s="105">
        <f t="shared" si="52"/>
        <v>6</v>
      </c>
      <c r="T31" s="105">
        <f t="shared" si="52"/>
        <v>5</v>
      </c>
      <c r="U31" s="105">
        <f t="shared" si="52"/>
        <v>3</v>
      </c>
      <c r="V31" s="106">
        <f t="shared" si="42"/>
        <v>0.35384615384615387</v>
      </c>
      <c r="W31" s="106">
        <f t="shared" si="49"/>
        <v>0.41862514688601649</v>
      </c>
      <c r="X31" s="106">
        <f t="shared" si="43"/>
        <v>0.42857142857142855</v>
      </c>
      <c r="Y31" s="106">
        <f t="shared" si="44"/>
        <v>0.4838709677419355</v>
      </c>
      <c r="Z31" s="106">
        <f t="shared" si="45"/>
        <v>0.23529411764705882</v>
      </c>
      <c r="AA31" s="107">
        <f>AVERAGE(AA26:AA30)</f>
        <v>9.3600000000000012</v>
      </c>
      <c r="AB31" s="46" t="str">
        <f>AB30</f>
        <v>REG</v>
      </c>
      <c r="FU31" s="36"/>
      <c r="FV31" s="36"/>
      <c r="FW31" s="36"/>
      <c r="FX31" s="36"/>
    </row>
    <row r="32" spans="1:540" ht="39.950000000000003" customHeight="1" x14ac:dyDescent="0.55000000000000004">
      <c r="A32" s="44" t="s">
        <v>33</v>
      </c>
      <c r="B32" s="44">
        <f t="shared" ref="B32:C32" si="53">B31</f>
        <v>1</v>
      </c>
      <c r="C32" s="44">
        <f t="shared" si="53"/>
        <v>3</v>
      </c>
      <c r="D32" s="82" t="s">
        <v>44</v>
      </c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>
        <v>41</v>
      </c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46" t="str">
        <f t="shared" si="51"/>
        <v>REG</v>
      </c>
      <c r="FU32" s="36"/>
      <c r="FV32" s="36"/>
      <c r="FW32" s="36"/>
      <c r="FX32" s="36"/>
    </row>
    <row r="33" spans="1:540" ht="39.950000000000003" customHeight="1" x14ac:dyDescent="0.5">
      <c r="A33" s="44" t="str">
        <f>D40</f>
        <v>Non Compliant</v>
      </c>
      <c r="B33" s="44">
        <v>1</v>
      </c>
      <c r="C33" s="44">
        <v>4</v>
      </c>
      <c r="D33" s="86" t="s">
        <v>36</v>
      </c>
      <c r="E33" s="87">
        <v>7</v>
      </c>
      <c r="F33" s="87">
        <v>10</v>
      </c>
      <c r="G33" s="87">
        <v>0</v>
      </c>
      <c r="H33" s="87">
        <v>3</v>
      </c>
      <c r="I33" s="87">
        <f>E33+G33</f>
        <v>7</v>
      </c>
      <c r="J33" s="87">
        <f>F33+H33</f>
        <v>13</v>
      </c>
      <c r="K33" s="87">
        <v>3</v>
      </c>
      <c r="L33" s="87">
        <v>8</v>
      </c>
      <c r="M33" s="87">
        <v>2</v>
      </c>
      <c r="N33" s="87">
        <v>8</v>
      </c>
      <c r="O33" s="87">
        <f>E33*2+G33*3+K33</f>
        <v>17</v>
      </c>
      <c r="P33" s="87">
        <f>M33+N33</f>
        <v>10</v>
      </c>
      <c r="Q33" s="87">
        <v>8</v>
      </c>
      <c r="R33" s="87">
        <v>0</v>
      </c>
      <c r="S33" s="87">
        <v>2</v>
      </c>
      <c r="T33" s="87">
        <v>3</v>
      </c>
      <c r="U33" s="87">
        <v>1</v>
      </c>
      <c r="V33" s="88">
        <f t="shared" ref="V33:V39" si="54">IFERROR(I33/J33,0)</f>
        <v>0.53846153846153844</v>
      </c>
      <c r="W33" s="88">
        <f>IFERROR(O33/(2*(J33+0.44*L33)), 0)</f>
        <v>0.51452784503631965</v>
      </c>
      <c r="X33" s="88">
        <f t="shared" ref="X33:X39" si="55">IFERROR(K33/L33,0)</f>
        <v>0.375</v>
      </c>
      <c r="Y33" s="88">
        <f t="shared" ref="Y33:Y39" si="56">IFERROR(E33/F33,0)</f>
        <v>0.7</v>
      </c>
      <c r="Z33" s="88">
        <f t="shared" ref="Z33:Z39" si="57">IFERROR(G33/H33,0)</f>
        <v>0</v>
      </c>
      <c r="AA33" s="89">
        <f t="shared" ref="AA33:AA38" si="58">(O33)+(0.4*I33)-(0.7*J33)-(0.4*(L33-K33))+(0.7*M33)+(0.3*N33)+S33+(0.7*Q33)+(0.7*R33)-(0.4*U33)-T33</f>
        <v>16.700000000000003</v>
      </c>
      <c r="AB33" s="167" t="s">
        <v>27</v>
      </c>
      <c r="FU33" s="36"/>
      <c r="FV33" s="36"/>
      <c r="FW33" s="36"/>
      <c r="FX33" s="36"/>
    </row>
    <row r="34" spans="1:540" ht="39.950000000000003" customHeight="1" x14ac:dyDescent="0.5">
      <c r="A34" s="44" t="str">
        <f>A33</f>
        <v>Non Compliant</v>
      </c>
      <c r="B34" s="44">
        <f>B33</f>
        <v>1</v>
      </c>
      <c r="C34" s="44">
        <f>C33</f>
        <v>4</v>
      </c>
      <c r="D34" s="86" t="s">
        <v>28</v>
      </c>
      <c r="E34" s="90">
        <v>2</v>
      </c>
      <c r="F34" s="90">
        <v>7</v>
      </c>
      <c r="G34" s="90">
        <v>6</v>
      </c>
      <c r="H34" s="90">
        <v>8</v>
      </c>
      <c r="I34" s="90">
        <f t="shared" ref="I34:J38" si="59">E34+G34</f>
        <v>8</v>
      </c>
      <c r="J34" s="90">
        <f t="shared" si="59"/>
        <v>15</v>
      </c>
      <c r="K34" s="90">
        <v>0</v>
      </c>
      <c r="L34" s="90">
        <v>0</v>
      </c>
      <c r="M34" s="90">
        <v>2</v>
      </c>
      <c r="N34" s="90">
        <v>8</v>
      </c>
      <c r="O34" s="90">
        <f t="shared" ref="O34:O38" si="60">E34*2+G34*3+K34</f>
        <v>22</v>
      </c>
      <c r="P34" s="90">
        <f t="shared" ref="P34:P38" si="61">M34+N34</f>
        <v>10</v>
      </c>
      <c r="Q34" s="90">
        <v>1</v>
      </c>
      <c r="R34" s="90">
        <v>0</v>
      </c>
      <c r="S34" s="90">
        <v>2</v>
      </c>
      <c r="T34" s="90">
        <v>3</v>
      </c>
      <c r="U34" s="90">
        <v>1</v>
      </c>
      <c r="V34" s="91">
        <f t="shared" si="54"/>
        <v>0.53333333333333333</v>
      </c>
      <c r="W34" s="91">
        <f t="shared" ref="W34:W39" si="62">IFERROR(O34/(2*(J34+0.44*L34)), 0)</f>
        <v>0.73333333333333328</v>
      </c>
      <c r="X34" s="91">
        <f t="shared" si="55"/>
        <v>0</v>
      </c>
      <c r="Y34" s="91">
        <f t="shared" si="56"/>
        <v>0.2857142857142857</v>
      </c>
      <c r="Z34" s="91">
        <f t="shared" si="57"/>
        <v>0.75</v>
      </c>
      <c r="AA34" s="92">
        <f t="shared" si="58"/>
        <v>17.799999999999997</v>
      </c>
      <c r="AB34" s="46" t="str">
        <f>AB33</f>
        <v>REG</v>
      </c>
      <c r="FU34" s="36"/>
      <c r="FV34" s="36"/>
      <c r="FW34" s="36"/>
      <c r="FX34" s="36"/>
    </row>
    <row r="35" spans="1:540" s="42" customFormat="1" ht="39.950000000000003" customHeight="1" x14ac:dyDescent="0.5">
      <c r="A35" s="44" t="str">
        <f t="shared" ref="A35:C37" si="63">A34</f>
        <v>Non Compliant</v>
      </c>
      <c r="B35" s="44">
        <f t="shared" si="63"/>
        <v>1</v>
      </c>
      <c r="C35" s="44">
        <f t="shared" si="63"/>
        <v>4</v>
      </c>
      <c r="D35" s="86" t="s">
        <v>29</v>
      </c>
      <c r="E35" s="93">
        <v>3</v>
      </c>
      <c r="F35" s="93">
        <v>4</v>
      </c>
      <c r="G35" s="93">
        <v>0</v>
      </c>
      <c r="H35" s="93">
        <v>1</v>
      </c>
      <c r="I35" s="93">
        <f t="shared" si="59"/>
        <v>3</v>
      </c>
      <c r="J35" s="93">
        <f t="shared" si="59"/>
        <v>5</v>
      </c>
      <c r="K35" s="93">
        <v>0</v>
      </c>
      <c r="L35" s="93">
        <v>0</v>
      </c>
      <c r="M35" s="93">
        <v>2</v>
      </c>
      <c r="N35" s="93">
        <v>7</v>
      </c>
      <c r="O35" s="93">
        <f t="shared" si="60"/>
        <v>6</v>
      </c>
      <c r="P35" s="93">
        <f t="shared" si="61"/>
        <v>9</v>
      </c>
      <c r="Q35" s="93">
        <v>4</v>
      </c>
      <c r="R35" s="93">
        <v>0</v>
      </c>
      <c r="S35" s="93">
        <v>0</v>
      </c>
      <c r="T35" s="93">
        <v>0</v>
      </c>
      <c r="U35" s="93">
        <v>0</v>
      </c>
      <c r="V35" s="94">
        <f t="shared" si="54"/>
        <v>0.6</v>
      </c>
      <c r="W35" s="94">
        <f t="shared" si="62"/>
        <v>0.6</v>
      </c>
      <c r="X35" s="94">
        <f t="shared" si="55"/>
        <v>0</v>
      </c>
      <c r="Y35" s="94">
        <f t="shared" si="56"/>
        <v>0.75</v>
      </c>
      <c r="Z35" s="94">
        <f t="shared" si="57"/>
        <v>0</v>
      </c>
      <c r="AA35" s="95">
        <f t="shared" si="58"/>
        <v>10</v>
      </c>
      <c r="AB35" s="46" t="str">
        <f t="shared" ref="AB35:AB40" si="64">AB34</f>
        <v>REG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26"/>
      <c r="JZ35" s="24"/>
      <c r="KA35" s="24"/>
      <c r="KB35" s="24"/>
      <c r="KC35" s="24"/>
      <c r="KD35" s="24"/>
      <c r="KE35" s="24"/>
      <c r="KF35" s="24"/>
      <c r="KG35" s="24"/>
      <c r="KH35" s="24"/>
      <c r="KI35" s="24"/>
      <c r="KJ35" s="24"/>
      <c r="KK35" s="24"/>
      <c r="KL35" s="24"/>
      <c r="KM35" s="24"/>
      <c r="KN35" s="24"/>
      <c r="KO35" s="24"/>
      <c r="KP35" s="24"/>
      <c r="KQ35" s="22"/>
      <c r="KR35" s="22"/>
      <c r="KS35" s="22"/>
      <c r="KT35" s="22"/>
      <c r="KU35" s="23"/>
      <c r="KV35" s="26"/>
      <c r="KW35" s="24"/>
      <c r="KX35" s="24"/>
      <c r="KY35" s="24"/>
      <c r="KZ35" s="24"/>
      <c r="LA35" s="24"/>
      <c r="LB35" s="24"/>
      <c r="LC35" s="24"/>
      <c r="LD35" s="24"/>
      <c r="LE35" s="24"/>
      <c r="LF35" s="24"/>
      <c r="LG35" s="24"/>
      <c r="LH35" s="24"/>
      <c r="LI35" s="24"/>
      <c r="LJ35" s="24"/>
      <c r="LK35" s="24"/>
      <c r="LL35" s="24"/>
      <c r="LM35" s="24"/>
      <c r="LN35" s="22"/>
      <c r="LO35" s="22"/>
      <c r="LP35" s="22"/>
      <c r="LQ35" s="22"/>
      <c r="LR35" s="23"/>
      <c r="LS35" s="26"/>
      <c r="LT35" s="24"/>
      <c r="LU35" s="24"/>
      <c r="LV35" s="24"/>
      <c r="LW35" s="24"/>
      <c r="LX35" s="24"/>
      <c r="LY35" s="24"/>
      <c r="LZ35" s="24"/>
      <c r="MA35" s="24"/>
      <c r="MB35" s="24"/>
      <c r="MC35" s="24"/>
      <c r="MD35" s="24"/>
      <c r="ME35" s="24"/>
      <c r="MF35" s="24"/>
      <c r="MG35" s="24"/>
      <c r="MH35" s="24"/>
      <c r="MI35" s="24"/>
      <c r="MJ35" s="24"/>
      <c r="MK35" s="22"/>
      <c r="ML35" s="22"/>
      <c r="MM35" s="22"/>
      <c r="MN35" s="22"/>
      <c r="MO35" s="23"/>
      <c r="MP35" s="26"/>
      <c r="MQ35" s="24"/>
      <c r="MR35" s="24"/>
      <c r="MS35" s="24"/>
      <c r="MT35" s="24"/>
      <c r="MU35" s="24"/>
      <c r="MV35" s="24"/>
      <c r="MW35" s="24"/>
      <c r="MX35" s="24"/>
      <c r="MY35" s="24"/>
      <c r="MZ35" s="24"/>
      <c r="NA35" s="24"/>
      <c r="NB35" s="24"/>
      <c r="NC35" s="24"/>
      <c r="ND35" s="24"/>
      <c r="NE35" s="24"/>
      <c r="NF35" s="24"/>
      <c r="NG35" s="24"/>
      <c r="NH35" s="22"/>
      <c r="NI35" s="22"/>
      <c r="NJ35" s="22"/>
      <c r="NK35" s="22"/>
      <c r="NL35" s="23"/>
      <c r="NM35" s="26"/>
      <c r="NN35" s="24"/>
      <c r="NO35" s="24"/>
      <c r="NP35" s="24"/>
      <c r="NQ35" s="24"/>
      <c r="NR35" s="24"/>
      <c r="NS35" s="24"/>
      <c r="NT35" s="24"/>
      <c r="NU35" s="24"/>
      <c r="NV35" s="24"/>
      <c r="NW35" s="24"/>
      <c r="NX35" s="24"/>
      <c r="NY35" s="24"/>
      <c r="NZ35" s="24"/>
      <c r="OA35" s="24"/>
      <c r="OB35" s="24"/>
      <c r="OC35" s="24"/>
      <c r="OD35" s="24"/>
      <c r="OE35" s="22"/>
      <c r="OF35" s="22"/>
      <c r="OG35" s="22"/>
      <c r="OH35" s="22"/>
      <c r="OI35" s="23"/>
      <c r="OJ35" s="26"/>
      <c r="OK35" s="24"/>
      <c r="OL35" s="24"/>
      <c r="OM35" s="24"/>
      <c r="ON35" s="24"/>
      <c r="OO35" s="24"/>
      <c r="OP35" s="24"/>
      <c r="OQ35" s="24"/>
      <c r="OR35" s="24"/>
      <c r="OS35" s="24"/>
      <c r="OT35" s="24"/>
      <c r="OU35" s="24"/>
      <c r="OV35" s="24"/>
      <c r="OW35" s="24"/>
      <c r="OX35" s="24"/>
      <c r="OY35" s="24"/>
      <c r="OZ35" s="24"/>
      <c r="PA35" s="24"/>
      <c r="PB35" s="22"/>
      <c r="PC35" s="22"/>
      <c r="PD35" s="22"/>
      <c r="PE35" s="22"/>
      <c r="PF35" s="23"/>
      <c r="PG35" s="26"/>
      <c r="PH35" s="24"/>
      <c r="PI35" s="24"/>
      <c r="PJ35" s="24"/>
      <c r="PK35" s="24"/>
      <c r="PL35" s="24"/>
      <c r="PM35" s="24"/>
      <c r="PN35" s="24"/>
      <c r="PO35" s="24"/>
      <c r="PP35" s="24"/>
      <c r="PQ35" s="24"/>
      <c r="PR35" s="24"/>
      <c r="PS35" s="24"/>
      <c r="PT35" s="24"/>
      <c r="PU35" s="24"/>
      <c r="PV35" s="24"/>
      <c r="PW35" s="24"/>
      <c r="PX35" s="24"/>
      <c r="PY35" s="22"/>
      <c r="PZ35" s="22"/>
      <c r="QA35" s="22"/>
      <c r="QB35" s="22"/>
      <c r="QC35" s="23"/>
      <c r="QD35" s="26"/>
      <c r="QE35" s="24"/>
      <c r="QF35" s="24"/>
      <c r="QG35" s="24"/>
      <c r="QH35" s="24"/>
      <c r="QI35" s="24"/>
      <c r="QJ35" s="24"/>
      <c r="QK35" s="24"/>
      <c r="QL35" s="24"/>
      <c r="QM35" s="24"/>
      <c r="QN35" s="24"/>
      <c r="QO35" s="24"/>
      <c r="QP35" s="24"/>
      <c r="QQ35" s="24"/>
      <c r="QR35" s="24"/>
      <c r="QS35" s="24"/>
      <c r="QT35" s="24"/>
      <c r="QU35" s="24"/>
      <c r="QV35" s="22"/>
      <c r="QW35" s="22"/>
      <c r="QX35" s="22"/>
      <c r="QY35" s="22"/>
      <c r="QZ35" s="23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</row>
    <row r="36" spans="1:540" ht="39.950000000000003" customHeight="1" x14ac:dyDescent="0.5">
      <c r="A36" s="44" t="str">
        <f t="shared" si="63"/>
        <v>Non Compliant</v>
      </c>
      <c r="B36" s="44">
        <f t="shared" si="63"/>
        <v>1</v>
      </c>
      <c r="C36" s="44">
        <f t="shared" si="63"/>
        <v>4</v>
      </c>
      <c r="D36" s="86" t="s">
        <v>30</v>
      </c>
      <c r="E36" s="96">
        <v>5</v>
      </c>
      <c r="F36" s="96">
        <v>8</v>
      </c>
      <c r="G36" s="96">
        <v>2</v>
      </c>
      <c r="H36" s="96">
        <v>6</v>
      </c>
      <c r="I36" s="96">
        <f t="shared" si="59"/>
        <v>7</v>
      </c>
      <c r="J36" s="96">
        <f t="shared" si="59"/>
        <v>14</v>
      </c>
      <c r="K36" s="96">
        <v>0</v>
      </c>
      <c r="L36" s="96">
        <v>0</v>
      </c>
      <c r="M36" s="96">
        <v>0</v>
      </c>
      <c r="N36" s="96">
        <v>5</v>
      </c>
      <c r="O36" s="96">
        <f t="shared" si="60"/>
        <v>16</v>
      </c>
      <c r="P36" s="96">
        <f t="shared" si="61"/>
        <v>5</v>
      </c>
      <c r="Q36" s="96">
        <v>3</v>
      </c>
      <c r="R36" s="96">
        <v>0</v>
      </c>
      <c r="S36" s="96">
        <v>3</v>
      </c>
      <c r="T36" s="96">
        <v>0</v>
      </c>
      <c r="U36" s="96">
        <v>2</v>
      </c>
      <c r="V36" s="97">
        <f t="shared" si="54"/>
        <v>0.5</v>
      </c>
      <c r="W36" s="97">
        <f t="shared" si="62"/>
        <v>0.5714285714285714</v>
      </c>
      <c r="X36" s="97">
        <f t="shared" si="55"/>
        <v>0</v>
      </c>
      <c r="Y36" s="97">
        <f t="shared" si="56"/>
        <v>0.625</v>
      </c>
      <c r="Z36" s="97">
        <f t="shared" si="57"/>
        <v>0.33333333333333331</v>
      </c>
      <c r="AA36" s="98">
        <f t="shared" si="58"/>
        <v>14.8</v>
      </c>
      <c r="AB36" s="46" t="str">
        <f t="shared" si="64"/>
        <v>REG</v>
      </c>
      <c r="FU36" s="36"/>
      <c r="FV36" s="36"/>
      <c r="FW36" s="36"/>
      <c r="FX36" s="36"/>
    </row>
    <row r="37" spans="1:540" ht="39.950000000000003" customHeight="1" x14ac:dyDescent="0.5">
      <c r="A37" s="44" t="str">
        <f t="shared" si="63"/>
        <v>Non Compliant</v>
      </c>
      <c r="B37" s="44">
        <f t="shared" si="63"/>
        <v>1</v>
      </c>
      <c r="C37" s="44">
        <f t="shared" si="63"/>
        <v>4</v>
      </c>
      <c r="D37" s="86" t="s">
        <v>41</v>
      </c>
      <c r="E37" s="99">
        <v>0</v>
      </c>
      <c r="F37" s="99">
        <v>1</v>
      </c>
      <c r="G37" s="99">
        <v>0</v>
      </c>
      <c r="H37" s="99">
        <v>2</v>
      </c>
      <c r="I37" s="99">
        <f t="shared" si="59"/>
        <v>0</v>
      </c>
      <c r="J37" s="99">
        <f t="shared" si="59"/>
        <v>3</v>
      </c>
      <c r="K37" s="99">
        <v>0</v>
      </c>
      <c r="L37" s="99">
        <v>0</v>
      </c>
      <c r="M37" s="99">
        <v>0</v>
      </c>
      <c r="N37" s="99">
        <v>0</v>
      </c>
      <c r="O37" s="99">
        <f t="shared" si="60"/>
        <v>0</v>
      </c>
      <c r="P37" s="99">
        <f t="shared" si="61"/>
        <v>0</v>
      </c>
      <c r="Q37" s="99">
        <v>0</v>
      </c>
      <c r="R37" s="99">
        <v>0</v>
      </c>
      <c r="S37" s="99">
        <v>0</v>
      </c>
      <c r="T37" s="99">
        <v>2</v>
      </c>
      <c r="U37" s="99">
        <v>0</v>
      </c>
      <c r="V37" s="100">
        <f t="shared" si="54"/>
        <v>0</v>
      </c>
      <c r="W37" s="100">
        <f t="shared" si="62"/>
        <v>0</v>
      </c>
      <c r="X37" s="100">
        <f t="shared" si="55"/>
        <v>0</v>
      </c>
      <c r="Y37" s="100">
        <f t="shared" si="56"/>
        <v>0</v>
      </c>
      <c r="Z37" s="100">
        <f t="shared" si="57"/>
        <v>0</v>
      </c>
      <c r="AA37" s="101">
        <f t="shared" si="58"/>
        <v>-4.0999999999999996</v>
      </c>
      <c r="AB37" s="46" t="str">
        <f t="shared" si="64"/>
        <v>REG</v>
      </c>
      <c r="FU37" s="36"/>
      <c r="FV37" s="36"/>
      <c r="FW37" s="36"/>
      <c r="FX37" s="36"/>
    </row>
    <row r="38" spans="1:540" ht="39.950000000000003" customHeight="1" x14ac:dyDescent="0.5">
      <c r="A38" s="44" t="str">
        <f t="shared" ref="A38:C39" si="65">A36</f>
        <v>Non Compliant</v>
      </c>
      <c r="B38" s="44">
        <f t="shared" si="65"/>
        <v>1</v>
      </c>
      <c r="C38" s="44">
        <f t="shared" si="65"/>
        <v>4</v>
      </c>
      <c r="D38" s="86" t="s">
        <v>42</v>
      </c>
      <c r="E38" s="102">
        <v>2</v>
      </c>
      <c r="F38" s="102">
        <v>4</v>
      </c>
      <c r="G38" s="102">
        <v>0</v>
      </c>
      <c r="H38" s="102">
        <v>1</v>
      </c>
      <c r="I38" s="102">
        <f t="shared" si="59"/>
        <v>2</v>
      </c>
      <c r="J38" s="102">
        <f t="shared" si="59"/>
        <v>5</v>
      </c>
      <c r="K38" s="102">
        <v>0</v>
      </c>
      <c r="L38" s="102">
        <v>0</v>
      </c>
      <c r="M38" s="102">
        <v>3</v>
      </c>
      <c r="N38" s="102">
        <v>5</v>
      </c>
      <c r="O38" s="102">
        <f t="shared" si="60"/>
        <v>4</v>
      </c>
      <c r="P38" s="102">
        <f t="shared" si="61"/>
        <v>8</v>
      </c>
      <c r="Q38" s="102">
        <v>0</v>
      </c>
      <c r="R38" s="102">
        <v>0</v>
      </c>
      <c r="S38" s="102">
        <v>0</v>
      </c>
      <c r="T38" s="102">
        <v>3</v>
      </c>
      <c r="U38" s="102">
        <v>3</v>
      </c>
      <c r="V38" s="103">
        <f t="shared" si="54"/>
        <v>0.4</v>
      </c>
      <c r="W38" s="103">
        <f t="shared" si="62"/>
        <v>0.4</v>
      </c>
      <c r="X38" s="103">
        <f t="shared" si="55"/>
        <v>0</v>
      </c>
      <c r="Y38" s="103">
        <f t="shared" si="56"/>
        <v>0.5</v>
      </c>
      <c r="Z38" s="103">
        <f t="shared" si="57"/>
        <v>0</v>
      </c>
      <c r="AA38" s="104">
        <f t="shared" si="58"/>
        <v>0.69999999999999929</v>
      </c>
      <c r="AB38" s="46" t="str">
        <f>AB37</f>
        <v>REG</v>
      </c>
      <c r="AC38" s="2"/>
      <c r="AD38" s="2"/>
      <c r="FU38" s="36"/>
      <c r="FV38" s="36"/>
      <c r="FW38" s="36"/>
      <c r="FX38" s="36"/>
    </row>
    <row r="39" spans="1:540" ht="39.950000000000003" customHeight="1" x14ac:dyDescent="0.5">
      <c r="A39" s="44" t="str">
        <f t="shared" si="65"/>
        <v>Non Compliant</v>
      </c>
      <c r="B39" s="44">
        <f t="shared" si="65"/>
        <v>1</v>
      </c>
      <c r="C39" s="44">
        <f t="shared" si="65"/>
        <v>4</v>
      </c>
      <c r="D39" s="86" t="s">
        <v>32</v>
      </c>
      <c r="E39" s="105">
        <f>SUM(E33:E38)</f>
        <v>19</v>
      </c>
      <c r="F39" s="105">
        <f t="shared" ref="F39:U39" si="66">SUM(F33:F38)</f>
        <v>34</v>
      </c>
      <c r="G39" s="105">
        <f t="shared" si="66"/>
        <v>8</v>
      </c>
      <c r="H39" s="105">
        <f t="shared" si="66"/>
        <v>21</v>
      </c>
      <c r="I39" s="105">
        <f t="shared" si="66"/>
        <v>27</v>
      </c>
      <c r="J39" s="105">
        <f t="shared" si="66"/>
        <v>55</v>
      </c>
      <c r="K39" s="105">
        <f t="shared" si="66"/>
        <v>3</v>
      </c>
      <c r="L39" s="105">
        <f t="shared" si="66"/>
        <v>8</v>
      </c>
      <c r="M39" s="105">
        <f t="shared" si="66"/>
        <v>9</v>
      </c>
      <c r="N39" s="105">
        <f t="shared" si="66"/>
        <v>33</v>
      </c>
      <c r="O39" s="105">
        <f t="shared" si="66"/>
        <v>65</v>
      </c>
      <c r="P39" s="105">
        <f t="shared" si="66"/>
        <v>42</v>
      </c>
      <c r="Q39" s="105">
        <f t="shared" si="66"/>
        <v>16</v>
      </c>
      <c r="R39" s="105">
        <f t="shared" si="66"/>
        <v>0</v>
      </c>
      <c r="S39" s="105">
        <f t="shared" si="66"/>
        <v>7</v>
      </c>
      <c r="T39" s="105">
        <f t="shared" si="66"/>
        <v>11</v>
      </c>
      <c r="U39" s="105">
        <f t="shared" si="66"/>
        <v>7</v>
      </c>
      <c r="V39" s="106">
        <f t="shared" si="54"/>
        <v>0.49090909090909091</v>
      </c>
      <c r="W39" s="106">
        <f t="shared" si="62"/>
        <v>0.55536568694463428</v>
      </c>
      <c r="X39" s="106">
        <f t="shared" si="55"/>
        <v>0.375</v>
      </c>
      <c r="Y39" s="106">
        <f t="shared" si="56"/>
        <v>0.55882352941176472</v>
      </c>
      <c r="Z39" s="106">
        <f t="shared" si="57"/>
        <v>0.38095238095238093</v>
      </c>
      <c r="AA39" s="107">
        <f>AVERAGE(AA33:AA38)</f>
        <v>9.3166666666666647</v>
      </c>
      <c r="AB39" s="46" t="str">
        <f>AB38</f>
        <v>REG</v>
      </c>
    </row>
    <row r="40" spans="1:540" ht="39.950000000000003" customHeight="1" x14ac:dyDescent="0.55000000000000004">
      <c r="A40" s="44" t="s">
        <v>33</v>
      </c>
      <c r="B40" s="44">
        <f t="shared" ref="B40:C40" si="67">B39</f>
        <v>1</v>
      </c>
      <c r="C40" s="44">
        <f t="shared" si="67"/>
        <v>4</v>
      </c>
      <c r="D40" s="82" t="s">
        <v>46</v>
      </c>
      <c r="E40" s="83"/>
      <c r="F40" s="83"/>
      <c r="G40" s="83"/>
      <c r="H40" s="83"/>
      <c r="I40" s="83"/>
      <c r="J40" s="83"/>
      <c r="K40" s="83"/>
      <c r="L40" s="83"/>
      <c r="M40" s="83"/>
      <c r="N40" s="83"/>
      <c r="O40" s="83">
        <v>33</v>
      </c>
      <c r="P40" s="83"/>
      <c r="Q40" s="83"/>
      <c r="R40" s="83"/>
      <c r="S40" s="83"/>
      <c r="T40" s="83"/>
      <c r="U40" s="83"/>
      <c r="V40" s="83"/>
      <c r="W40" s="83"/>
      <c r="X40" s="83"/>
      <c r="Y40" s="83"/>
      <c r="Z40" s="83"/>
      <c r="AA40" s="83"/>
      <c r="AB40" s="46" t="str">
        <f t="shared" si="64"/>
        <v>REG</v>
      </c>
    </row>
    <row r="41" spans="1:540" ht="39.950000000000003" customHeight="1" x14ac:dyDescent="0.5">
      <c r="A41" s="44" t="str">
        <f>D48</f>
        <v>Low Expectations</v>
      </c>
      <c r="B41" s="44">
        <v>1</v>
      </c>
      <c r="C41" s="44">
        <v>5</v>
      </c>
      <c r="D41" s="86" t="s">
        <v>36</v>
      </c>
      <c r="E41" s="87">
        <v>1</v>
      </c>
      <c r="F41" s="87">
        <v>5</v>
      </c>
      <c r="G41" s="87">
        <v>1</v>
      </c>
      <c r="H41" s="87">
        <v>5</v>
      </c>
      <c r="I41" s="87">
        <f>E41+G41</f>
        <v>2</v>
      </c>
      <c r="J41" s="87">
        <f>F41+H41</f>
        <v>10</v>
      </c>
      <c r="K41" s="87">
        <v>2</v>
      </c>
      <c r="L41" s="87">
        <v>5</v>
      </c>
      <c r="M41" s="87">
        <v>3</v>
      </c>
      <c r="N41" s="87">
        <v>1</v>
      </c>
      <c r="O41" s="87">
        <f>E41*2+G41*3+K41</f>
        <v>7</v>
      </c>
      <c r="P41" s="87">
        <f>M41+N41</f>
        <v>4</v>
      </c>
      <c r="Q41" s="87">
        <v>1</v>
      </c>
      <c r="R41" s="87">
        <v>0</v>
      </c>
      <c r="S41" s="87">
        <v>2</v>
      </c>
      <c r="T41" s="87">
        <v>2</v>
      </c>
      <c r="U41" s="87">
        <v>2</v>
      </c>
      <c r="V41" s="88">
        <f t="shared" ref="V41:V47" si="68">IFERROR(I41/J41,0)</f>
        <v>0.2</v>
      </c>
      <c r="W41" s="88">
        <f>IFERROR(O41/(2*(J41+0.44*L41)), 0)</f>
        <v>0.28688524590163939</v>
      </c>
      <c r="X41" s="88">
        <f t="shared" ref="X41:X47" si="69">IFERROR(K41/L41,0)</f>
        <v>0.4</v>
      </c>
      <c r="Y41" s="88">
        <f t="shared" ref="Y41:Y47" si="70">IFERROR(E41/F41,0)</f>
        <v>0.2</v>
      </c>
      <c r="Z41" s="88">
        <f t="shared" ref="Z41:Z47" si="71">IFERROR(G41/H41,0)</f>
        <v>0.2</v>
      </c>
      <c r="AA41" s="89">
        <f t="shared" ref="AA41:AA46" si="72">(O41)+(0.4*I41)-(0.7*J41)-(0.4*(L41-K41))+(0.7*M41)+(0.3*N41)+S41+(0.7*Q41)+(0.7*R41)-(0.4*U41)-T41</f>
        <v>1.8999999999999995</v>
      </c>
      <c r="AB41" s="167" t="s">
        <v>27</v>
      </c>
    </row>
    <row r="42" spans="1:540" s="42" customFormat="1" ht="39.950000000000003" customHeight="1" x14ac:dyDescent="0.5">
      <c r="A42" s="44" t="str">
        <f>A41</f>
        <v>Low Expectations</v>
      </c>
      <c r="B42" s="44">
        <f>B41</f>
        <v>1</v>
      </c>
      <c r="C42" s="44">
        <f>C41</f>
        <v>5</v>
      </c>
      <c r="D42" s="86" t="s">
        <v>28</v>
      </c>
      <c r="E42" s="90">
        <v>3</v>
      </c>
      <c r="F42" s="90">
        <v>10</v>
      </c>
      <c r="G42" s="90">
        <v>1</v>
      </c>
      <c r="H42" s="90">
        <v>8</v>
      </c>
      <c r="I42" s="90">
        <f t="shared" ref="I42:J46" si="73">E42+G42</f>
        <v>4</v>
      </c>
      <c r="J42" s="90">
        <f t="shared" si="73"/>
        <v>18</v>
      </c>
      <c r="K42" s="90">
        <v>5</v>
      </c>
      <c r="L42" s="90">
        <v>6</v>
      </c>
      <c r="M42" s="90">
        <v>4</v>
      </c>
      <c r="N42" s="90">
        <v>0</v>
      </c>
      <c r="O42" s="90">
        <f t="shared" ref="O42:O46" si="74">E42*2+G42*3+K42</f>
        <v>14</v>
      </c>
      <c r="P42" s="90">
        <f t="shared" ref="P42:P46" si="75">M42+N42</f>
        <v>4</v>
      </c>
      <c r="Q42" s="90">
        <v>3</v>
      </c>
      <c r="R42" s="90">
        <v>0</v>
      </c>
      <c r="S42" s="90">
        <v>2</v>
      </c>
      <c r="T42" s="90">
        <v>0</v>
      </c>
      <c r="U42" s="90">
        <v>2</v>
      </c>
      <c r="V42" s="91">
        <f t="shared" si="68"/>
        <v>0.22222222222222221</v>
      </c>
      <c r="W42" s="91">
        <f t="shared" ref="W42:W47" si="76">IFERROR(O42/(2*(J42+0.44*L42)), 0)</f>
        <v>0.33914728682170542</v>
      </c>
      <c r="X42" s="91">
        <f t="shared" si="69"/>
        <v>0.83333333333333337</v>
      </c>
      <c r="Y42" s="91">
        <f t="shared" si="70"/>
        <v>0.3</v>
      </c>
      <c r="Z42" s="91">
        <f t="shared" si="71"/>
        <v>0.125</v>
      </c>
      <c r="AA42" s="92">
        <f t="shared" si="72"/>
        <v>8.6999999999999993</v>
      </c>
      <c r="AB42" s="46" t="str">
        <f>AB41</f>
        <v>REG</v>
      </c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26"/>
      <c r="JZ42" s="24"/>
      <c r="KA42" s="24"/>
      <c r="KB42" s="24"/>
      <c r="KC42" s="24"/>
      <c r="KD42" s="24"/>
      <c r="KE42" s="24"/>
      <c r="KF42" s="24"/>
      <c r="KG42" s="24"/>
      <c r="KH42" s="24"/>
      <c r="KI42" s="24"/>
      <c r="KJ42" s="24"/>
      <c r="KK42" s="24"/>
      <c r="KL42" s="24"/>
      <c r="KM42" s="24"/>
      <c r="KN42" s="24"/>
      <c r="KO42" s="24"/>
      <c r="KP42" s="24"/>
      <c r="KQ42" s="22"/>
      <c r="KR42" s="22"/>
      <c r="KS42" s="22"/>
      <c r="KT42" s="22"/>
      <c r="KU42" s="23"/>
      <c r="KV42" s="26"/>
      <c r="KW42" s="24"/>
      <c r="KX42" s="24"/>
      <c r="KY42" s="24"/>
      <c r="KZ42" s="24"/>
      <c r="LA42" s="24"/>
      <c r="LB42" s="24"/>
      <c r="LC42" s="24"/>
      <c r="LD42" s="24"/>
      <c r="LE42" s="24"/>
      <c r="LF42" s="24"/>
      <c r="LG42" s="24"/>
      <c r="LH42" s="24"/>
      <c r="LI42" s="24"/>
      <c r="LJ42" s="24"/>
      <c r="LK42" s="24"/>
      <c r="LL42" s="24"/>
      <c r="LM42" s="24"/>
      <c r="LN42" s="22"/>
      <c r="LO42" s="22"/>
      <c r="LP42" s="22"/>
      <c r="LQ42" s="22"/>
      <c r="LR42" s="23"/>
      <c r="LS42" s="26"/>
      <c r="LT42" s="24"/>
      <c r="LU42" s="24"/>
      <c r="LV42" s="24"/>
      <c r="LW42" s="24"/>
      <c r="LX42" s="24"/>
      <c r="LY42" s="24"/>
      <c r="LZ42" s="24"/>
      <c r="MA42" s="24"/>
      <c r="MB42" s="24"/>
      <c r="MC42" s="24"/>
      <c r="MD42" s="24"/>
      <c r="ME42" s="24"/>
      <c r="MF42" s="24"/>
      <c r="MG42" s="24"/>
      <c r="MH42" s="24"/>
      <c r="MI42" s="24"/>
      <c r="MJ42" s="24"/>
      <c r="MK42" s="22"/>
      <c r="ML42" s="22"/>
      <c r="MM42" s="22"/>
      <c r="MN42" s="22"/>
      <c r="MO42" s="23"/>
      <c r="MP42" s="26"/>
      <c r="MQ42" s="24"/>
      <c r="MR42" s="24"/>
      <c r="MS42" s="24"/>
      <c r="MT42" s="24"/>
      <c r="MU42" s="24"/>
      <c r="MV42" s="24"/>
      <c r="MW42" s="24"/>
      <c r="MX42" s="24"/>
      <c r="MY42" s="24"/>
      <c r="MZ42" s="24"/>
      <c r="NA42" s="24"/>
      <c r="NB42" s="24"/>
      <c r="NC42" s="24"/>
      <c r="ND42" s="24"/>
      <c r="NE42" s="24"/>
      <c r="NF42" s="24"/>
      <c r="NG42" s="24"/>
      <c r="NH42" s="22"/>
      <c r="NI42" s="22"/>
      <c r="NJ42" s="22"/>
      <c r="NK42" s="22"/>
      <c r="NL42" s="23"/>
      <c r="NM42" s="26"/>
      <c r="NN42" s="24"/>
      <c r="NO42" s="24"/>
      <c r="NP42" s="24"/>
      <c r="NQ42" s="24"/>
      <c r="NR42" s="24"/>
      <c r="NS42" s="24"/>
      <c r="NT42" s="24"/>
      <c r="NU42" s="24"/>
      <c r="NV42" s="24"/>
      <c r="NW42" s="24"/>
      <c r="NX42" s="24"/>
      <c r="NY42" s="24"/>
      <c r="NZ42" s="24"/>
      <c r="OA42" s="24"/>
      <c r="OB42" s="24"/>
      <c r="OC42" s="24"/>
      <c r="OD42" s="24"/>
      <c r="OE42" s="22"/>
      <c r="OF42" s="22"/>
      <c r="OG42" s="22"/>
      <c r="OH42" s="22"/>
      <c r="OI42" s="23"/>
      <c r="OJ42" s="26"/>
      <c r="OK42" s="24"/>
      <c r="OL42" s="24"/>
      <c r="OM42" s="24"/>
      <c r="ON42" s="24"/>
      <c r="OO42" s="24"/>
      <c r="OP42" s="24"/>
      <c r="OQ42" s="24"/>
      <c r="OR42" s="24"/>
      <c r="OS42" s="24"/>
      <c r="OT42" s="24"/>
      <c r="OU42" s="24"/>
      <c r="OV42" s="24"/>
      <c r="OW42" s="24"/>
      <c r="OX42" s="24"/>
      <c r="OY42" s="24"/>
      <c r="OZ42" s="24"/>
      <c r="PA42" s="24"/>
      <c r="PB42" s="22"/>
      <c r="PC42" s="22"/>
      <c r="PD42" s="22"/>
      <c r="PE42" s="22"/>
      <c r="PF42" s="23"/>
      <c r="PG42" s="26"/>
      <c r="PH42" s="24"/>
      <c r="PI42" s="24"/>
      <c r="PJ42" s="24"/>
      <c r="PK42" s="24"/>
      <c r="PL42" s="24"/>
      <c r="PM42" s="24"/>
      <c r="PN42" s="24"/>
      <c r="PO42" s="24"/>
      <c r="PP42" s="24"/>
      <c r="PQ42" s="24"/>
      <c r="PR42" s="24"/>
      <c r="PS42" s="24"/>
      <c r="PT42" s="24"/>
      <c r="PU42" s="24"/>
      <c r="PV42" s="24"/>
      <c r="PW42" s="24"/>
      <c r="PX42" s="24"/>
      <c r="PY42" s="22"/>
      <c r="PZ42" s="22"/>
      <c r="QA42" s="22"/>
      <c r="QB42" s="22"/>
      <c r="QC42" s="23"/>
      <c r="QD42" s="26"/>
      <c r="QE42" s="24"/>
      <c r="QF42" s="24"/>
      <c r="QG42" s="24"/>
      <c r="QH42" s="24"/>
      <c r="QI42" s="24"/>
      <c r="QJ42" s="24"/>
      <c r="QK42" s="24"/>
      <c r="QL42" s="24"/>
      <c r="QM42" s="24"/>
      <c r="QN42" s="24"/>
      <c r="QO42" s="24"/>
      <c r="QP42" s="24"/>
      <c r="QQ42" s="24"/>
      <c r="QR42" s="24"/>
      <c r="QS42" s="24"/>
      <c r="QT42" s="24"/>
      <c r="QU42" s="24"/>
      <c r="QV42" s="22"/>
      <c r="QW42" s="22"/>
      <c r="QX42" s="22"/>
      <c r="QY42" s="22"/>
      <c r="QZ42" s="23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</row>
    <row r="43" spans="1:540" ht="39.950000000000003" customHeight="1" x14ac:dyDescent="0.5">
      <c r="A43" s="44" t="str">
        <f t="shared" ref="A43:C45" si="77">A42</f>
        <v>Low Expectations</v>
      </c>
      <c r="B43" s="44">
        <f t="shared" si="77"/>
        <v>1</v>
      </c>
      <c r="C43" s="44">
        <f t="shared" si="77"/>
        <v>5</v>
      </c>
      <c r="D43" s="86" t="s">
        <v>29</v>
      </c>
      <c r="E43" s="93">
        <v>0</v>
      </c>
      <c r="F43" s="93">
        <v>0</v>
      </c>
      <c r="G43" s="93">
        <v>1</v>
      </c>
      <c r="H43" s="93">
        <v>3</v>
      </c>
      <c r="I43" s="93">
        <f t="shared" si="73"/>
        <v>1</v>
      </c>
      <c r="J43" s="93">
        <f t="shared" si="73"/>
        <v>3</v>
      </c>
      <c r="K43" s="93">
        <v>0</v>
      </c>
      <c r="L43" s="93">
        <v>0</v>
      </c>
      <c r="M43" s="93">
        <v>3</v>
      </c>
      <c r="N43" s="93">
        <v>5</v>
      </c>
      <c r="O43" s="93">
        <f t="shared" si="74"/>
        <v>3</v>
      </c>
      <c r="P43" s="93">
        <f t="shared" si="75"/>
        <v>8</v>
      </c>
      <c r="Q43" s="93">
        <v>2</v>
      </c>
      <c r="R43" s="93">
        <v>0</v>
      </c>
      <c r="S43" s="93">
        <v>0</v>
      </c>
      <c r="T43" s="93">
        <v>1</v>
      </c>
      <c r="U43" s="93">
        <v>1</v>
      </c>
      <c r="V43" s="94">
        <f t="shared" si="68"/>
        <v>0.33333333333333331</v>
      </c>
      <c r="W43" s="94">
        <f t="shared" si="76"/>
        <v>0.5</v>
      </c>
      <c r="X43" s="94">
        <f t="shared" si="69"/>
        <v>0</v>
      </c>
      <c r="Y43" s="94">
        <f t="shared" si="70"/>
        <v>0</v>
      </c>
      <c r="Z43" s="94">
        <f t="shared" si="71"/>
        <v>0.33333333333333331</v>
      </c>
      <c r="AA43" s="95">
        <f t="shared" si="72"/>
        <v>4.9000000000000004</v>
      </c>
      <c r="AB43" s="46" t="str">
        <f t="shared" ref="AB43:AB48" si="78">AB42</f>
        <v>REG</v>
      </c>
    </row>
    <row r="44" spans="1:540" ht="39.950000000000003" customHeight="1" x14ac:dyDescent="0.5">
      <c r="A44" s="44" t="str">
        <f>A43</f>
        <v>Low Expectations</v>
      </c>
      <c r="B44" s="44">
        <f t="shared" si="77"/>
        <v>1</v>
      </c>
      <c r="C44" s="44">
        <f t="shared" si="77"/>
        <v>5</v>
      </c>
      <c r="D44" s="86" t="s">
        <v>79</v>
      </c>
      <c r="E44" s="96">
        <v>1</v>
      </c>
      <c r="F44" s="96">
        <v>4</v>
      </c>
      <c r="G44" s="96">
        <v>1</v>
      </c>
      <c r="H44" s="96">
        <v>7</v>
      </c>
      <c r="I44" s="96">
        <f t="shared" si="73"/>
        <v>2</v>
      </c>
      <c r="J44" s="96">
        <f t="shared" si="73"/>
        <v>11</v>
      </c>
      <c r="K44" s="96">
        <v>0</v>
      </c>
      <c r="L44" s="96">
        <v>0</v>
      </c>
      <c r="M44" s="96">
        <v>1</v>
      </c>
      <c r="N44" s="96">
        <v>4</v>
      </c>
      <c r="O44" s="96">
        <f t="shared" si="74"/>
        <v>5</v>
      </c>
      <c r="P44" s="96">
        <f t="shared" si="75"/>
        <v>5</v>
      </c>
      <c r="Q44" s="96">
        <v>2</v>
      </c>
      <c r="R44" s="96">
        <v>0</v>
      </c>
      <c r="S44" s="96">
        <v>1</v>
      </c>
      <c r="T44" s="96">
        <v>1</v>
      </c>
      <c r="U44" s="96">
        <v>1</v>
      </c>
      <c r="V44" s="97">
        <f t="shared" si="68"/>
        <v>0.18181818181818182</v>
      </c>
      <c r="W44" s="97">
        <f t="shared" si="76"/>
        <v>0.22727272727272727</v>
      </c>
      <c r="X44" s="97">
        <f t="shared" si="69"/>
        <v>0</v>
      </c>
      <c r="Y44" s="97">
        <f t="shared" si="70"/>
        <v>0.25</v>
      </c>
      <c r="Z44" s="97">
        <f t="shared" si="71"/>
        <v>0.14285714285714285</v>
      </c>
      <c r="AA44" s="98">
        <f t="shared" si="72"/>
        <v>1.0000000000000004</v>
      </c>
      <c r="AB44" s="46" t="str">
        <f>AB43</f>
        <v>REG</v>
      </c>
    </row>
    <row r="45" spans="1:540" ht="39.950000000000003" customHeight="1" x14ac:dyDescent="0.5">
      <c r="A45" s="44" t="str">
        <f>A44</f>
        <v>Low Expectations</v>
      </c>
      <c r="B45" s="44">
        <f t="shared" si="77"/>
        <v>1</v>
      </c>
      <c r="C45" s="44">
        <f t="shared" si="77"/>
        <v>5</v>
      </c>
      <c r="D45" s="86" t="s">
        <v>45</v>
      </c>
      <c r="E45" s="102">
        <v>6</v>
      </c>
      <c r="F45" s="102">
        <v>13</v>
      </c>
      <c r="G45" s="102">
        <v>0</v>
      </c>
      <c r="H45" s="102">
        <v>1</v>
      </c>
      <c r="I45" s="102">
        <f t="shared" si="73"/>
        <v>6</v>
      </c>
      <c r="J45" s="102">
        <f t="shared" si="73"/>
        <v>14</v>
      </c>
      <c r="K45" s="102">
        <v>1</v>
      </c>
      <c r="L45" s="102">
        <v>4</v>
      </c>
      <c r="M45" s="102">
        <v>4</v>
      </c>
      <c r="N45" s="102">
        <v>9</v>
      </c>
      <c r="O45" s="102">
        <f t="shared" si="74"/>
        <v>13</v>
      </c>
      <c r="P45" s="102">
        <f t="shared" si="75"/>
        <v>13</v>
      </c>
      <c r="Q45" s="102">
        <v>1</v>
      </c>
      <c r="R45" s="102">
        <v>0</v>
      </c>
      <c r="S45" s="102">
        <v>2</v>
      </c>
      <c r="T45" s="102">
        <v>3</v>
      </c>
      <c r="U45" s="102">
        <v>3</v>
      </c>
      <c r="V45" s="103">
        <f t="shared" si="68"/>
        <v>0.42857142857142855</v>
      </c>
      <c r="W45" s="103">
        <f t="shared" si="76"/>
        <v>0.41243654822335024</v>
      </c>
      <c r="X45" s="103">
        <f t="shared" si="69"/>
        <v>0.25</v>
      </c>
      <c r="Y45" s="103">
        <f t="shared" si="70"/>
        <v>0.46153846153846156</v>
      </c>
      <c r="Z45" s="103">
        <f t="shared" si="71"/>
        <v>0</v>
      </c>
      <c r="AA45" s="104">
        <f t="shared" si="72"/>
        <v>8.3999999999999986</v>
      </c>
      <c r="AB45" s="46" t="str">
        <f>AB44</f>
        <v>REG</v>
      </c>
    </row>
    <row r="46" spans="1:540" ht="39.950000000000003" customHeight="1" x14ac:dyDescent="0.5">
      <c r="A46" s="44" t="str">
        <f t="shared" ref="A46:C46" si="79">A45</f>
        <v>Low Expectations</v>
      </c>
      <c r="B46" s="44">
        <f t="shared" si="79"/>
        <v>1</v>
      </c>
      <c r="C46" s="44">
        <f t="shared" si="79"/>
        <v>5</v>
      </c>
      <c r="D46" s="86" t="s">
        <v>41</v>
      </c>
      <c r="E46" s="99">
        <v>0</v>
      </c>
      <c r="F46" s="99">
        <v>0</v>
      </c>
      <c r="G46" s="99">
        <v>1</v>
      </c>
      <c r="H46" s="99">
        <v>4</v>
      </c>
      <c r="I46" s="99">
        <f t="shared" si="73"/>
        <v>1</v>
      </c>
      <c r="J46" s="99">
        <f t="shared" si="73"/>
        <v>4</v>
      </c>
      <c r="K46" s="99">
        <v>0</v>
      </c>
      <c r="L46" s="99">
        <v>0</v>
      </c>
      <c r="M46" s="99">
        <v>1</v>
      </c>
      <c r="N46" s="99">
        <v>0</v>
      </c>
      <c r="O46" s="99">
        <f t="shared" si="74"/>
        <v>3</v>
      </c>
      <c r="P46" s="99">
        <f t="shared" si="75"/>
        <v>1</v>
      </c>
      <c r="Q46" s="99">
        <v>1</v>
      </c>
      <c r="R46" s="99">
        <v>0</v>
      </c>
      <c r="S46" s="99">
        <v>3</v>
      </c>
      <c r="T46" s="99">
        <v>2</v>
      </c>
      <c r="U46" s="99">
        <v>0</v>
      </c>
      <c r="V46" s="100">
        <f t="shared" si="68"/>
        <v>0.25</v>
      </c>
      <c r="W46" s="100">
        <f t="shared" si="76"/>
        <v>0.375</v>
      </c>
      <c r="X46" s="100">
        <f t="shared" si="69"/>
        <v>0</v>
      </c>
      <c r="Y46" s="100">
        <f t="shared" si="70"/>
        <v>0</v>
      </c>
      <c r="Z46" s="100">
        <f t="shared" si="71"/>
        <v>0.25</v>
      </c>
      <c r="AA46" s="101">
        <f t="shared" si="72"/>
        <v>3</v>
      </c>
      <c r="AB46" s="46" t="str">
        <f t="shared" ref="AB46" si="80">AB45</f>
        <v>REG</v>
      </c>
    </row>
    <row r="47" spans="1:540" ht="39.950000000000003" customHeight="1" x14ac:dyDescent="0.5">
      <c r="A47" s="44" t="str">
        <f t="shared" ref="A47:C47" si="81">A44</f>
        <v>Low Expectations</v>
      </c>
      <c r="B47" s="44">
        <f t="shared" si="81"/>
        <v>1</v>
      </c>
      <c r="C47" s="44">
        <f t="shared" si="81"/>
        <v>5</v>
      </c>
      <c r="D47" s="86" t="s">
        <v>32</v>
      </c>
      <c r="E47" s="105">
        <f>SUM(E41:E46)</f>
        <v>11</v>
      </c>
      <c r="F47" s="105">
        <f t="shared" ref="F47:U47" si="82">SUM(F41:F46)</f>
        <v>32</v>
      </c>
      <c r="G47" s="105">
        <f t="shared" si="82"/>
        <v>5</v>
      </c>
      <c r="H47" s="105">
        <f t="shared" si="82"/>
        <v>28</v>
      </c>
      <c r="I47" s="105">
        <f t="shared" si="82"/>
        <v>16</v>
      </c>
      <c r="J47" s="105">
        <f t="shared" si="82"/>
        <v>60</v>
      </c>
      <c r="K47" s="105">
        <f t="shared" si="82"/>
        <v>8</v>
      </c>
      <c r="L47" s="105">
        <f t="shared" si="82"/>
        <v>15</v>
      </c>
      <c r="M47" s="105">
        <f t="shared" si="82"/>
        <v>16</v>
      </c>
      <c r="N47" s="105">
        <f t="shared" si="82"/>
        <v>19</v>
      </c>
      <c r="O47" s="105">
        <f t="shared" si="82"/>
        <v>45</v>
      </c>
      <c r="P47" s="105">
        <f t="shared" si="82"/>
        <v>35</v>
      </c>
      <c r="Q47" s="105">
        <f t="shared" si="82"/>
        <v>10</v>
      </c>
      <c r="R47" s="105">
        <f t="shared" si="82"/>
        <v>0</v>
      </c>
      <c r="S47" s="105">
        <f t="shared" si="82"/>
        <v>10</v>
      </c>
      <c r="T47" s="105">
        <f t="shared" si="82"/>
        <v>9</v>
      </c>
      <c r="U47" s="105">
        <f t="shared" si="82"/>
        <v>9</v>
      </c>
      <c r="V47" s="106">
        <f t="shared" si="68"/>
        <v>0.26666666666666666</v>
      </c>
      <c r="W47" s="106">
        <f t="shared" si="76"/>
        <v>0.33783783783783788</v>
      </c>
      <c r="X47" s="106">
        <f t="shared" si="69"/>
        <v>0.53333333333333333</v>
      </c>
      <c r="Y47" s="106">
        <f t="shared" si="70"/>
        <v>0.34375</v>
      </c>
      <c r="Z47" s="106">
        <f t="shared" si="71"/>
        <v>0.17857142857142858</v>
      </c>
      <c r="AA47" s="107">
        <f>AVERAGE(AA41:AA46)</f>
        <v>4.6499999999999995</v>
      </c>
      <c r="AB47" s="46" t="str">
        <f>AB45</f>
        <v>REG</v>
      </c>
    </row>
    <row r="48" spans="1:540" ht="39.950000000000003" customHeight="1" x14ac:dyDescent="0.55000000000000004">
      <c r="A48" s="44" t="s">
        <v>33</v>
      </c>
      <c r="B48" s="44">
        <f t="shared" ref="B48:C48" si="83">B47</f>
        <v>1</v>
      </c>
      <c r="C48" s="44">
        <f t="shared" si="83"/>
        <v>5</v>
      </c>
      <c r="D48" s="82" t="s">
        <v>48</v>
      </c>
      <c r="E48" s="83"/>
      <c r="F48" s="83"/>
      <c r="G48" s="83"/>
      <c r="H48" s="83"/>
      <c r="I48" s="83"/>
      <c r="J48" s="83"/>
      <c r="K48" s="83"/>
      <c r="L48" s="83"/>
      <c r="M48" s="83"/>
      <c r="N48" s="83"/>
      <c r="O48" s="83">
        <v>46</v>
      </c>
      <c r="P48" s="83"/>
      <c r="Q48" s="83"/>
      <c r="R48" s="83"/>
      <c r="S48" s="83"/>
      <c r="T48" s="83"/>
      <c r="U48" s="83"/>
      <c r="V48" s="83"/>
      <c r="W48" s="83"/>
      <c r="X48" s="83"/>
      <c r="Y48" s="83"/>
      <c r="Z48" s="83"/>
      <c r="AA48" s="83"/>
      <c r="AB48" s="46" t="str">
        <f t="shared" si="78"/>
        <v>REG</v>
      </c>
    </row>
    <row r="49" spans="1:540" s="42" customFormat="1" ht="39.950000000000003" customHeight="1" x14ac:dyDescent="0.5">
      <c r="A49" s="44" t="str">
        <f>D56</f>
        <v>slow motion</v>
      </c>
      <c r="B49" s="44">
        <v>1</v>
      </c>
      <c r="C49" s="44">
        <v>6</v>
      </c>
      <c r="D49" s="86" t="s">
        <v>36</v>
      </c>
      <c r="E49" s="87">
        <v>3</v>
      </c>
      <c r="F49" s="87">
        <v>12</v>
      </c>
      <c r="G49" s="87">
        <v>1</v>
      </c>
      <c r="H49" s="87">
        <v>3</v>
      </c>
      <c r="I49" s="87">
        <f>E49+G49</f>
        <v>4</v>
      </c>
      <c r="J49" s="87">
        <f>F49+H49</f>
        <v>15</v>
      </c>
      <c r="K49" s="87">
        <v>1</v>
      </c>
      <c r="L49" s="87">
        <v>1</v>
      </c>
      <c r="M49" s="87">
        <v>3</v>
      </c>
      <c r="N49" s="87">
        <v>5</v>
      </c>
      <c r="O49" s="87">
        <f>E49*2+G49*3+K49</f>
        <v>10</v>
      </c>
      <c r="P49" s="87">
        <f>M49+N49</f>
        <v>8</v>
      </c>
      <c r="Q49" s="87">
        <v>1</v>
      </c>
      <c r="R49" s="87">
        <v>0</v>
      </c>
      <c r="S49" s="87">
        <v>5</v>
      </c>
      <c r="T49" s="87">
        <v>1</v>
      </c>
      <c r="U49" s="87">
        <v>1</v>
      </c>
      <c r="V49" s="88">
        <f t="shared" ref="V49:V55" si="84">IFERROR(I49/J49,0)</f>
        <v>0.26666666666666666</v>
      </c>
      <c r="W49" s="88">
        <f>IFERROR(O49/(2*(J49+0.44*L49)), 0)</f>
        <v>0.32383419689119169</v>
      </c>
      <c r="X49" s="88">
        <f t="shared" ref="X49:X55" si="85">IFERROR(K49/L49,0)</f>
        <v>1</v>
      </c>
      <c r="Y49" s="88">
        <f t="shared" ref="Y49:Y55" si="86">IFERROR(E49/F49,0)</f>
        <v>0.25</v>
      </c>
      <c r="Z49" s="88">
        <f t="shared" ref="Z49:Z55" si="87">IFERROR(G49/H49,0)</f>
        <v>0.33333333333333331</v>
      </c>
      <c r="AA49" s="89">
        <f t="shared" ref="AA49:AA54" si="88">(O49)+(0.4*I49)-(0.7*J49)-(0.4*(L49-K49))+(0.7*M49)+(0.3*N49)+S49+(0.7*Q49)+(0.7*R49)-(0.4*U49)-T49</f>
        <v>8.9999999999999982</v>
      </c>
      <c r="AB49" s="167" t="s">
        <v>27</v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26"/>
      <c r="JZ49" s="24"/>
      <c r="KA49" s="24"/>
      <c r="KB49" s="24"/>
      <c r="KC49" s="24"/>
      <c r="KD49" s="24"/>
      <c r="KE49" s="24"/>
      <c r="KF49" s="24"/>
      <c r="KG49" s="24"/>
      <c r="KH49" s="24"/>
      <c r="KI49" s="24"/>
      <c r="KJ49" s="24"/>
      <c r="KK49" s="24"/>
      <c r="KL49" s="24"/>
      <c r="KM49" s="24"/>
      <c r="KN49" s="24"/>
      <c r="KO49" s="24"/>
      <c r="KP49" s="24"/>
      <c r="KQ49" s="22"/>
      <c r="KR49" s="22"/>
      <c r="KS49" s="22"/>
      <c r="KT49" s="22"/>
      <c r="KU49" s="23"/>
      <c r="KV49" s="26"/>
      <c r="KW49" s="24"/>
      <c r="KX49" s="24"/>
      <c r="KY49" s="24"/>
      <c r="KZ49" s="24"/>
      <c r="LA49" s="24"/>
      <c r="LB49" s="24"/>
      <c r="LC49" s="24"/>
      <c r="LD49" s="24"/>
      <c r="LE49" s="24"/>
      <c r="LF49" s="24"/>
      <c r="LG49" s="24"/>
      <c r="LH49" s="24"/>
      <c r="LI49" s="24"/>
      <c r="LJ49" s="24"/>
      <c r="LK49" s="24"/>
      <c r="LL49" s="24"/>
      <c r="LM49" s="24"/>
      <c r="LN49" s="22"/>
      <c r="LO49" s="22"/>
      <c r="LP49" s="22"/>
      <c r="LQ49" s="22"/>
      <c r="LR49" s="23"/>
      <c r="LS49" s="26"/>
      <c r="LT49" s="24"/>
      <c r="LU49" s="24"/>
      <c r="LV49" s="24"/>
      <c r="LW49" s="24"/>
      <c r="LX49" s="24"/>
      <c r="LY49" s="24"/>
      <c r="LZ49" s="24"/>
      <c r="MA49" s="24"/>
      <c r="MB49" s="24"/>
      <c r="MC49" s="24"/>
      <c r="MD49" s="24"/>
      <c r="ME49" s="24"/>
      <c r="MF49" s="24"/>
      <c r="MG49" s="24"/>
      <c r="MH49" s="24"/>
      <c r="MI49" s="24"/>
      <c r="MJ49" s="24"/>
      <c r="MK49" s="22"/>
      <c r="ML49" s="22"/>
      <c r="MM49" s="22"/>
      <c r="MN49" s="22"/>
      <c r="MO49" s="23"/>
      <c r="MP49" s="26"/>
      <c r="MQ49" s="24"/>
      <c r="MR49" s="24"/>
      <c r="MS49" s="24"/>
      <c r="MT49" s="24"/>
      <c r="MU49" s="24"/>
      <c r="MV49" s="24"/>
      <c r="MW49" s="24"/>
      <c r="MX49" s="24"/>
      <c r="MY49" s="24"/>
      <c r="MZ49" s="24"/>
      <c r="NA49" s="24"/>
      <c r="NB49" s="24"/>
      <c r="NC49" s="24"/>
      <c r="ND49" s="24"/>
      <c r="NE49" s="24"/>
      <c r="NF49" s="24"/>
      <c r="NG49" s="24"/>
      <c r="NH49" s="22"/>
      <c r="NI49" s="22"/>
      <c r="NJ49" s="22"/>
      <c r="NK49" s="22"/>
      <c r="NL49" s="23"/>
      <c r="NM49" s="26"/>
      <c r="NN49" s="24"/>
      <c r="NO49" s="24"/>
      <c r="NP49" s="24"/>
      <c r="NQ49" s="24"/>
      <c r="NR49" s="24"/>
      <c r="NS49" s="24"/>
      <c r="NT49" s="24"/>
      <c r="NU49" s="24"/>
      <c r="NV49" s="24"/>
      <c r="NW49" s="24"/>
      <c r="NX49" s="24"/>
      <c r="NY49" s="24"/>
      <c r="NZ49" s="24"/>
      <c r="OA49" s="24"/>
      <c r="OB49" s="24"/>
      <c r="OC49" s="24"/>
      <c r="OD49" s="24"/>
      <c r="OE49" s="22"/>
      <c r="OF49" s="22"/>
      <c r="OG49" s="22"/>
      <c r="OH49" s="22"/>
      <c r="OI49" s="23"/>
      <c r="OJ49" s="26"/>
      <c r="OK49" s="24"/>
      <c r="OL49" s="24"/>
      <c r="OM49" s="24"/>
      <c r="ON49" s="24"/>
      <c r="OO49" s="24"/>
      <c r="OP49" s="24"/>
      <c r="OQ49" s="24"/>
      <c r="OR49" s="24"/>
      <c r="OS49" s="24"/>
      <c r="OT49" s="24"/>
      <c r="OU49" s="24"/>
      <c r="OV49" s="24"/>
      <c r="OW49" s="24"/>
      <c r="OX49" s="24"/>
      <c r="OY49" s="24"/>
      <c r="OZ49" s="24"/>
      <c r="PA49" s="24"/>
      <c r="PB49" s="22"/>
      <c r="PC49" s="22"/>
      <c r="PD49" s="22"/>
      <c r="PE49" s="22"/>
      <c r="PF49" s="23"/>
      <c r="PG49" s="26"/>
      <c r="PH49" s="24"/>
      <c r="PI49" s="24"/>
      <c r="PJ49" s="24"/>
      <c r="PK49" s="24"/>
      <c r="PL49" s="24"/>
      <c r="PM49" s="24"/>
      <c r="PN49" s="24"/>
      <c r="PO49" s="24"/>
      <c r="PP49" s="24"/>
      <c r="PQ49" s="24"/>
      <c r="PR49" s="24"/>
      <c r="PS49" s="24"/>
      <c r="PT49" s="24"/>
      <c r="PU49" s="24"/>
      <c r="PV49" s="24"/>
      <c r="PW49" s="24"/>
      <c r="PX49" s="24"/>
      <c r="PY49" s="22"/>
      <c r="PZ49" s="22"/>
      <c r="QA49" s="22"/>
      <c r="QB49" s="22"/>
      <c r="QC49" s="23"/>
      <c r="QD49" s="26"/>
      <c r="QE49" s="24"/>
      <c r="QF49" s="24"/>
      <c r="QG49" s="24"/>
      <c r="QH49" s="24"/>
      <c r="QI49" s="24"/>
      <c r="QJ49" s="24"/>
      <c r="QK49" s="24"/>
      <c r="QL49" s="24"/>
      <c r="QM49" s="24"/>
      <c r="QN49" s="24"/>
      <c r="QO49" s="24"/>
      <c r="QP49" s="24"/>
      <c r="QQ49" s="24"/>
      <c r="QR49" s="24"/>
      <c r="QS49" s="24"/>
      <c r="QT49" s="24"/>
      <c r="QU49" s="24"/>
      <c r="QV49" s="22"/>
      <c r="QW49" s="22"/>
      <c r="QX49" s="22"/>
      <c r="QY49" s="22"/>
      <c r="QZ49" s="23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</row>
    <row r="50" spans="1:540" ht="39.950000000000003" customHeight="1" x14ac:dyDescent="0.5">
      <c r="A50" s="44" t="str">
        <f>A49</f>
        <v>slow motion</v>
      </c>
      <c r="B50" s="44">
        <f>B49</f>
        <v>1</v>
      </c>
      <c r="C50" s="44">
        <f>C49</f>
        <v>6</v>
      </c>
      <c r="D50" s="86" t="s">
        <v>28</v>
      </c>
      <c r="E50" s="90">
        <v>3</v>
      </c>
      <c r="F50" s="90">
        <v>10</v>
      </c>
      <c r="G50" s="90">
        <v>3</v>
      </c>
      <c r="H50" s="90">
        <v>9</v>
      </c>
      <c r="I50" s="90">
        <f t="shared" ref="I50:J54" si="89">E50+G50</f>
        <v>6</v>
      </c>
      <c r="J50" s="90">
        <f t="shared" si="89"/>
        <v>19</v>
      </c>
      <c r="K50" s="90">
        <v>0</v>
      </c>
      <c r="L50" s="90">
        <v>0</v>
      </c>
      <c r="M50" s="90">
        <v>1</v>
      </c>
      <c r="N50" s="90">
        <v>2</v>
      </c>
      <c r="O50" s="90">
        <f t="shared" ref="O50:O54" si="90">E50*2+G50*3+K50</f>
        <v>15</v>
      </c>
      <c r="P50" s="90">
        <f t="shared" ref="P50:P54" si="91">M50+N50</f>
        <v>3</v>
      </c>
      <c r="Q50" s="90">
        <v>0</v>
      </c>
      <c r="R50" s="90">
        <v>0</v>
      </c>
      <c r="S50" s="90">
        <v>3</v>
      </c>
      <c r="T50" s="90">
        <v>0</v>
      </c>
      <c r="U50" s="90">
        <v>2</v>
      </c>
      <c r="V50" s="91">
        <f t="shared" si="84"/>
        <v>0.31578947368421051</v>
      </c>
      <c r="W50" s="91">
        <f t="shared" ref="W50:W55" si="92">IFERROR(O50/(2*(J50+0.44*L50)), 0)</f>
        <v>0.39473684210526316</v>
      </c>
      <c r="X50" s="91">
        <f t="shared" si="85"/>
        <v>0</v>
      </c>
      <c r="Y50" s="91">
        <f t="shared" si="86"/>
        <v>0.3</v>
      </c>
      <c r="Z50" s="91">
        <f t="shared" si="87"/>
        <v>0.33333333333333331</v>
      </c>
      <c r="AA50" s="92">
        <f t="shared" si="88"/>
        <v>7.5999999999999988</v>
      </c>
      <c r="AB50" s="46" t="str">
        <f>AB49</f>
        <v>REG</v>
      </c>
    </row>
    <row r="51" spans="1:540" ht="39.75" customHeight="1" x14ac:dyDescent="0.5">
      <c r="A51" s="44" t="str">
        <f t="shared" ref="A51:C53" si="93">A50</f>
        <v>slow motion</v>
      </c>
      <c r="B51" s="44">
        <f t="shared" si="93"/>
        <v>1</v>
      </c>
      <c r="C51" s="44">
        <f t="shared" si="93"/>
        <v>6</v>
      </c>
      <c r="D51" s="86" t="s">
        <v>29</v>
      </c>
      <c r="E51" s="93">
        <v>0</v>
      </c>
      <c r="F51" s="93">
        <v>0</v>
      </c>
      <c r="G51" s="93">
        <v>0</v>
      </c>
      <c r="H51" s="93">
        <v>3</v>
      </c>
      <c r="I51" s="93">
        <f t="shared" si="89"/>
        <v>0</v>
      </c>
      <c r="J51" s="93">
        <f t="shared" si="89"/>
        <v>3</v>
      </c>
      <c r="K51" s="93">
        <v>0</v>
      </c>
      <c r="L51" s="93">
        <v>0</v>
      </c>
      <c r="M51" s="93">
        <v>0</v>
      </c>
      <c r="N51" s="93">
        <v>2</v>
      </c>
      <c r="O51" s="93">
        <f t="shared" si="90"/>
        <v>0</v>
      </c>
      <c r="P51" s="93">
        <f t="shared" si="91"/>
        <v>2</v>
      </c>
      <c r="Q51" s="93">
        <v>4</v>
      </c>
      <c r="R51" s="93">
        <v>1</v>
      </c>
      <c r="S51" s="93">
        <v>1</v>
      </c>
      <c r="T51" s="93">
        <v>1</v>
      </c>
      <c r="U51" s="93">
        <v>1</v>
      </c>
      <c r="V51" s="94">
        <f t="shared" si="84"/>
        <v>0</v>
      </c>
      <c r="W51" s="94">
        <f t="shared" si="92"/>
        <v>0</v>
      </c>
      <c r="X51" s="94">
        <f t="shared" si="85"/>
        <v>0</v>
      </c>
      <c r="Y51" s="94">
        <f t="shared" si="86"/>
        <v>0</v>
      </c>
      <c r="Z51" s="94">
        <f t="shared" si="87"/>
        <v>0</v>
      </c>
      <c r="AA51" s="95">
        <f t="shared" si="88"/>
        <v>1.6</v>
      </c>
      <c r="AB51" s="46" t="str">
        <f t="shared" ref="AB51:AB56" si="94">AB50</f>
        <v>REG</v>
      </c>
    </row>
    <row r="52" spans="1:540" ht="39.950000000000003" customHeight="1" x14ac:dyDescent="0.5">
      <c r="A52" s="44" t="str">
        <f t="shared" si="93"/>
        <v>slow motion</v>
      </c>
      <c r="B52" s="44">
        <f t="shared" si="93"/>
        <v>1</v>
      </c>
      <c r="C52" s="44">
        <f t="shared" si="93"/>
        <v>6</v>
      </c>
      <c r="D52" s="86" t="s">
        <v>30</v>
      </c>
      <c r="E52" s="96">
        <v>8</v>
      </c>
      <c r="F52" s="96">
        <v>17</v>
      </c>
      <c r="G52" s="96">
        <v>2</v>
      </c>
      <c r="H52" s="96">
        <v>7</v>
      </c>
      <c r="I52" s="96">
        <f t="shared" si="89"/>
        <v>10</v>
      </c>
      <c r="J52" s="96">
        <f t="shared" si="89"/>
        <v>24</v>
      </c>
      <c r="K52" s="96">
        <v>5</v>
      </c>
      <c r="L52" s="96">
        <v>7</v>
      </c>
      <c r="M52" s="96">
        <v>2</v>
      </c>
      <c r="N52" s="96">
        <v>3</v>
      </c>
      <c r="O52" s="96">
        <f t="shared" si="90"/>
        <v>27</v>
      </c>
      <c r="P52" s="96">
        <f t="shared" si="91"/>
        <v>5</v>
      </c>
      <c r="Q52" s="96">
        <v>6</v>
      </c>
      <c r="R52" s="96">
        <v>0</v>
      </c>
      <c r="S52" s="96">
        <v>6</v>
      </c>
      <c r="T52" s="96">
        <v>2</v>
      </c>
      <c r="U52" s="96">
        <v>0</v>
      </c>
      <c r="V52" s="97">
        <f t="shared" si="84"/>
        <v>0.41666666666666669</v>
      </c>
      <c r="W52" s="97">
        <f t="shared" si="92"/>
        <v>0.49852289512555392</v>
      </c>
      <c r="X52" s="97">
        <f t="shared" si="85"/>
        <v>0.7142857142857143</v>
      </c>
      <c r="Y52" s="97">
        <f t="shared" si="86"/>
        <v>0.47058823529411764</v>
      </c>
      <c r="Z52" s="97">
        <f t="shared" si="87"/>
        <v>0.2857142857142857</v>
      </c>
      <c r="AA52" s="98">
        <f t="shared" si="88"/>
        <v>23.900000000000002</v>
      </c>
      <c r="AB52" s="46" t="str">
        <f t="shared" si="94"/>
        <v>REG</v>
      </c>
    </row>
    <row r="53" spans="1:540" ht="39.950000000000003" customHeight="1" x14ac:dyDescent="0.5">
      <c r="A53" s="44" t="str">
        <f t="shared" si="93"/>
        <v>slow motion</v>
      </c>
      <c r="B53" s="44">
        <f t="shared" si="93"/>
        <v>1</v>
      </c>
      <c r="C53" s="44">
        <f t="shared" si="93"/>
        <v>6</v>
      </c>
      <c r="D53" s="86" t="s">
        <v>41</v>
      </c>
      <c r="E53" s="99">
        <v>0</v>
      </c>
      <c r="F53" s="99">
        <v>0</v>
      </c>
      <c r="G53" s="99">
        <v>0</v>
      </c>
      <c r="H53" s="99">
        <v>1</v>
      </c>
      <c r="I53" s="99">
        <f t="shared" si="89"/>
        <v>0</v>
      </c>
      <c r="J53" s="99">
        <f t="shared" si="89"/>
        <v>1</v>
      </c>
      <c r="K53" s="99">
        <v>0</v>
      </c>
      <c r="L53" s="99">
        <v>0</v>
      </c>
      <c r="M53" s="99">
        <v>0</v>
      </c>
      <c r="N53" s="99">
        <v>2</v>
      </c>
      <c r="O53" s="99">
        <f t="shared" si="90"/>
        <v>0</v>
      </c>
      <c r="P53" s="99">
        <f t="shared" si="91"/>
        <v>2</v>
      </c>
      <c r="Q53" s="99">
        <v>0</v>
      </c>
      <c r="R53" s="99">
        <v>0</v>
      </c>
      <c r="S53" s="99">
        <v>0</v>
      </c>
      <c r="T53" s="99">
        <v>0</v>
      </c>
      <c r="U53" s="99">
        <v>1</v>
      </c>
      <c r="V53" s="100">
        <f t="shared" si="84"/>
        <v>0</v>
      </c>
      <c r="W53" s="100">
        <f t="shared" si="92"/>
        <v>0</v>
      </c>
      <c r="X53" s="100">
        <f t="shared" si="85"/>
        <v>0</v>
      </c>
      <c r="Y53" s="100">
        <f t="shared" si="86"/>
        <v>0</v>
      </c>
      <c r="Z53" s="100">
        <f t="shared" si="87"/>
        <v>0</v>
      </c>
      <c r="AA53" s="101">
        <f t="shared" si="88"/>
        <v>-0.5</v>
      </c>
      <c r="AB53" s="46" t="str">
        <f t="shared" si="94"/>
        <v>REG</v>
      </c>
    </row>
    <row r="54" spans="1:540" ht="39.950000000000003" customHeight="1" x14ac:dyDescent="0.5">
      <c r="A54" s="44" t="str">
        <f t="shared" ref="A54:C55" si="95">A52</f>
        <v>slow motion</v>
      </c>
      <c r="B54" s="44">
        <f t="shared" si="95"/>
        <v>1</v>
      </c>
      <c r="C54" s="44">
        <f t="shared" si="95"/>
        <v>6</v>
      </c>
      <c r="D54" s="86" t="s">
        <v>42</v>
      </c>
      <c r="E54" s="102">
        <v>1</v>
      </c>
      <c r="F54" s="102">
        <v>2</v>
      </c>
      <c r="G54" s="102">
        <v>0</v>
      </c>
      <c r="H54" s="102">
        <v>0</v>
      </c>
      <c r="I54" s="102">
        <f t="shared" si="89"/>
        <v>1</v>
      </c>
      <c r="J54" s="102">
        <f t="shared" si="89"/>
        <v>2</v>
      </c>
      <c r="K54" s="102">
        <v>0</v>
      </c>
      <c r="L54" s="102">
        <v>0</v>
      </c>
      <c r="M54" s="102">
        <v>1</v>
      </c>
      <c r="N54" s="102">
        <v>2</v>
      </c>
      <c r="O54" s="102">
        <f t="shared" si="90"/>
        <v>2</v>
      </c>
      <c r="P54" s="102">
        <f t="shared" si="91"/>
        <v>3</v>
      </c>
      <c r="Q54" s="102">
        <v>0</v>
      </c>
      <c r="R54" s="102">
        <v>1</v>
      </c>
      <c r="S54" s="102">
        <v>2</v>
      </c>
      <c r="T54" s="102">
        <v>1</v>
      </c>
      <c r="U54" s="102">
        <v>4</v>
      </c>
      <c r="V54" s="103">
        <f t="shared" si="84"/>
        <v>0.5</v>
      </c>
      <c r="W54" s="103">
        <f t="shared" si="92"/>
        <v>0.5</v>
      </c>
      <c r="X54" s="103">
        <f t="shared" si="85"/>
        <v>0</v>
      </c>
      <c r="Y54" s="103">
        <f t="shared" si="86"/>
        <v>0.5</v>
      </c>
      <c r="Z54" s="103">
        <f t="shared" si="87"/>
        <v>0</v>
      </c>
      <c r="AA54" s="104">
        <f t="shared" si="88"/>
        <v>2.4</v>
      </c>
      <c r="AB54" s="46" t="str">
        <f>AB53</f>
        <v>REG</v>
      </c>
    </row>
    <row r="55" spans="1:540" ht="39.950000000000003" customHeight="1" x14ac:dyDescent="0.5">
      <c r="A55" s="44" t="str">
        <f t="shared" si="95"/>
        <v>slow motion</v>
      </c>
      <c r="B55" s="44">
        <f t="shared" si="95"/>
        <v>1</v>
      </c>
      <c r="C55" s="44">
        <f t="shared" si="95"/>
        <v>6</v>
      </c>
      <c r="D55" s="86" t="s">
        <v>32</v>
      </c>
      <c r="E55" s="105">
        <f>SUM(E49:E54)</f>
        <v>15</v>
      </c>
      <c r="F55" s="105">
        <f t="shared" ref="F55:U55" si="96">SUM(F49:F54)</f>
        <v>41</v>
      </c>
      <c r="G55" s="105">
        <f t="shared" si="96"/>
        <v>6</v>
      </c>
      <c r="H55" s="105">
        <f t="shared" si="96"/>
        <v>23</v>
      </c>
      <c r="I55" s="105">
        <f t="shared" si="96"/>
        <v>21</v>
      </c>
      <c r="J55" s="105">
        <f t="shared" si="96"/>
        <v>64</v>
      </c>
      <c r="K55" s="105">
        <f t="shared" si="96"/>
        <v>6</v>
      </c>
      <c r="L55" s="105">
        <f t="shared" si="96"/>
        <v>8</v>
      </c>
      <c r="M55" s="105">
        <f t="shared" si="96"/>
        <v>7</v>
      </c>
      <c r="N55" s="105">
        <f t="shared" si="96"/>
        <v>16</v>
      </c>
      <c r="O55" s="105">
        <f t="shared" si="96"/>
        <v>54</v>
      </c>
      <c r="P55" s="105">
        <f t="shared" si="96"/>
        <v>23</v>
      </c>
      <c r="Q55" s="105">
        <f t="shared" si="96"/>
        <v>11</v>
      </c>
      <c r="R55" s="105">
        <f t="shared" si="96"/>
        <v>2</v>
      </c>
      <c r="S55" s="105">
        <f t="shared" si="96"/>
        <v>17</v>
      </c>
      <c r="T55" s="105">
        <f t="shared" si="96"/>
        <v>5</v>
      </c>
      <c r="U55" s="105">
        <f t="shared" si="96"/>
        <v>9</v>
      </c>
      <c r="V55" s="106">
        <f t="shared" si="84"/>
        <v>0.328125</v>
      </c>
      <c r="W55" s="106">
        <f t="shared" si="92"/>
        <v>0.39988151658767773</v>
      </c>
      <c r="X55" s="106">
        <f t="shared" si="85"/>
        <v>0.75</v>
      </c>
      <c r="Y55" s="106">
        <f t="shared" si="86"/>
        <v>0.36585365853658536</v>
      </c>
      <c r="Z55" s="106">
        <f t="shared" si="87"/>
        <v>0.2608695652173913</v>
      </c>
      <c r="AA55" s="107">
        <f>AVERAGE(AA49:AA54)</f>
        <v>7.333333333333333</v>
      </c>
      <c r="AB55" s="46" t="str">
        <f>AB54</f>
        <v>REG</v>
      </c>
    </row>
    <row r="56" spans="1:540" s="42" customFormat="1" ht="39.950000000000003" customHeight="1" x14ac:dyDescent="0.55000000000000004">
      <c r="A56" s="44" t="s">
        <v>33</v>
      </c>
      <c r="B56" s="44">
        <f t="shared" ref="B56:C56" si="97">B55</f>
        <v>1</v>
      </c>
      <c r="C56" s="44">
        <f t="shared" si="97"/>
        <v>6</v>
      </c>
      <c r="D56" s="82" t="s">
        <v>49</v>
      </c>
      <c r="E56" s="83"/>
      <c r="F56" s="83"/>
      <c r="G56" s="83"/>
      <c r="H56" s="83"/>
      <c r="I56" s="83"/>
      <c r="J56" s="83"/>
      <c r="K56" s="83"/>
      <c r="L56" s="83"/>
      <c r="M56" s="83"/>
      <c r="N56" s="83"/>
      <c r="O56" s="83">
        <v>54</v>
      </c>
      <c r="P56" s="83"/>
      <c r="Q56" s="83"/>
      <c r="R56" s="83"/>
      <c r="S56" s="83"/>
      <c r="T56" s="83"/>
      <c r="U56" s="83"/>
      <c r="V56" s="83"/>
      <c r="W56" s="83"/>
      <c r="X56" s="83"/>
      <c r="Y56" s="83"/>
      <c r="Z56" s="83"/>
      <c r="AA56" s="83"/>
      <c r="AB56" s="46" t="str">
        <f t="shared" si="94"/>
        <v>REG</v>
      </c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26"/>
      <c r="JZ56" s="24"/>
      <c r="KA56" s="24"/>
      <c r="KB56" s="24"/>
      <c r="KC56" s="24"/>
      <c r="KD56" s="24"/>
      <c r="KE56" s="24"/>
      <c r="KF56" s="24"/>
      <c r="KG56" s="24"/>
      <c r="KH56" s="24"/>
      <c r="KI56" s="24"/>
      <c r="KJ56" s="24"/>
      <c r="KK56" s="24"/>
      <c r="KL56" s="24"/>
      <c r="KM56" s="24"/>
      <c r="KN56" s="24"/>
      <c r="KO56" s="24"/>
      <c r="KP56" s="24"/>
      <c r="KQ56" s="22"/>
      <c r="KR56" s="22"/>
      <c r="KS56" s="22"/>
      <c r="KT56" s="22"/>
      <c r="KU56" s="23"/>
      <c r="KV56" s="26"/>
      <c r="KW56" s="24"/>
      <c r="KX56" s="24"/>
      <c r="KY56" s="24"/>
      <c r="KZ56" s="24"/>
      <c r="LA56" s="24"/>
      <c r="LB56" s="24"/>
      <c r="LC56" s="24"/>
      <c r="LD56" s="24"/>
      <c r="LE56" s="24"/>
      <c r="LF56" s="24"/>
      <c r="LG56" s="24"/>
      <c r="LH56" s="24"/>
      <c r="LI56" s="24"/>
      <c r="LJ56" s="24"/>
      <c r="LK56" s="24"/>
      <c r="LL56" s="24"/>
      <c r="LM56" s="24"/>
      <c r="LN56" s="22"/>
      <c r="LO56" s="22"/>
      <c r="LP56" s="22"/>
      <c r="LQ56" s="22"/>
      <c r="LR56" s="23"/>
      <c r="LS56" s="26"/>
      <c r="LT56" s="24"/>
      <c r="LU56" s="24"/>
      <c r="LV56" s="24"/>
      <c r="LW56" s="24"/>
      <c r="LX56" s="24"/>
      <c r="LY56" s="24"/>
      <c r="LZ56" s="24"/>
      <c r="MA56" s="24"/>
      <c r="MB56" s="24"/>
      <c r="MC56" s="24"/>
      <c r="MD56" s="24"/>
      <c r="ME56" s="24"/>
      <c r="MF56" s="24"/>
      <c r="MG56" s="24"/>
      <c r="MH56" s="24"/>
      <c r="MI56" s="24"/>
      <c r="MJ56" s="24"/>
      <c r="MK56" s="22"/>
      <c r="ML56" s="22"/>
      <c r="MM56" s="22"/>
      <c r="MN56" s="22"/>
      <c r="MO56" s="23"/>
      <c r="MP56" s="26"/>
      <c r="MQ56" s="24"/>
      <c r="MR56" s="24"/>
      <c r="MS56" s="24"/>
      <c r="MT56" s="24"/>
      <c r="MU56" s="24"/>
      <c r="MV56" s="24"/>
      <c r="MW56" s="24"/>
      <c r="MX56" s="24"/>
      <c r="MY56" s="24"/>
      <c r="MZ56" s="24"/>
      <c r="NA56" s="24"/>
      <c r="NB56" s="24"/>
      <c r="NC56" s="24"/>
      <c r="ND56" s="24"/>
      <c r="NE56" s="24"/>
      <c r="NF56" s="24"/>
      <c r="NG56" s="24"/>
      <c r="NH56" s="22"/>
      <c r="NI56" s="22"/>
      <c r="NJ56" s="22"/>
      <c r="NK56" s="22"/>
      <c r="NL56" s="23"/>
      <c r="NM56" s="26"/>
      <c r="NN56" s="24"/>
      <c r="NO56" s="24"/>
      <c r="NP56" s="24"/>
      <c r="NQ56" s="24"/>
      <c r="NR56" s="24"/>
      <c r="NS56" s="24"/>
      <c r="NT56" s="24"/>
      <c r="NU56" s="24"/>
      <c r="NV56" s="24"/>
      <c r="NW56" s="24"/>
      <c r="NX56" s="24"/>
      <c r="NY56" s="24"/>
      <c r="NZ56" s="24"/>
      <c r="OA56" s="24"/>
      <c r="OB56" s="24"/>
      <c r="OC56" s="24"/>
      <c r="OD56" s="24"/>
      <c r="OE56" s="22"/>
      <c r="OF56" s="22"/>
      <c r="OG56" s="22"/>
      <c r="OH56" s="22"/>
      <c r="OI56" s="23"/>
      <c r="OJ56" s="26"/>
      <c r="OK56" s="24"/>
      <c r="OL56" s="24"/>
      <c r="OM56" s="24"/>
      <c r="ON56" s="24"/>
      <c r="OO56" s="24"/>
      <c r="OP56" s="24"/>
      <c r="OQ56" s="24"/>
      <c r="OR56" s="24"/>
      <c r="OS56" s="24"/>
      <c r="OT56" s="24"/>
      <c r="OU56" s="24"/>
      <c r="OV56" s="24"/>
      <c r="OW56" s="24"/>
      <c r="OX56" s="24"/>
      <c r="OY56" s="24"/>
      <c r="OZ56" s="24"/>
      <c r="PA56" s="24"/>
      <c r="PB56" s="22"/>
      <c r="PC56" s="22"/>
      <c r="PD56" s="22"/>
      <c r="PE56" s="22"/>
      <c r="PF56" s="23"/>
      <c r="PG56" s="26"/>
      <c r="PH56" s="24"/>
      <c r="PI56" s="24"/>
      <c r="PJ56" s="24"/>
      <c r="PK56" s="24"/>
      <c r="PL56" s="24"/>
      <c r="PM56" s="24"/>
      <c r="PN56" s="24"/>
      <c r="PO56" s="24"/>
      <c r="PP56" s="24"/>
      <c r="PQ56" s="24"/>
      <c r="PR56" s="24"/>
      <c r="PS56" s="24"/>
      <c r="PT56" s="24"/>
      <c r="PU56" s="24"/>
      <c r="PV56" s="24"/>
      <c r="PW56" s="24"/>
      <c r="PX56" s="24"/>
      <c r="PY56" s="22"/>
      <c r="PZ56" s="22"/>
      <c r="QA56" s="22"/>
      <c r="QB56" s="22"/>
      <c r="QC56" s="23"/>
      <c r="QD56" s="26"/>
      <c r="QE56" s="24"/>
      <c r="QF56" s="24"/>
      <c r="QG56" s="24"/>
      <c r="QH56" s="24"/>
      <c r="QI56" s="24"/>
      <c r="QJ56" s="24"/>
      <c r="QK56" s="24"/>
      <c r="QL56" s="24"/>
      <c r="QM56" s="24"/>
      <c r="QN56" s="24"/>
      <c r="QO56" s="24"/>
      <c r="QP56" s="24"/>
      <c r="QQ56" s="24"/>
      <c r="QR56" s="24"/>
      <c r="QS56" s="24"/>
      <c r="QT56" s="24"/>
      <c r="QU56" s="24"/>
      <c r="QV56" s="22"/>
      <c r="QW56" s="22"/>
      <c r="QX56" s="22"/>
      <c r="QY56" s="22"/>
      <c r="QZ56" s="23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</row>
    <row r="57" spans="1:540" ht="39.950000000000003" customHeight="1" x14ac:dyDescent="0.5">
      <c r="A57" s="44" t="str">
        <f>D63</f>
        <v>too drunk to dunk</v>
      </c>
      <c r="B57" s="44">
        <v>1</v>
      </c>
      <c r="C57" s="44">
        <v>7</v>
      </c>
      <c r="D57" s="86" t="s">
        <v>36</v>
      </c>
      <c r="E57" s="87">
        <v>11</v>
      </c>
      <c r="F57" s="87">
        <v>23</v>
      </c>
      <c r="G57" s="87">
        <v>0</v>
      </c>
      <c r="H57" s="87">
        <v>1</v>
      </c>
      <c r="I57" s="87">
        <f>E57+G57</f>
        <v>11</v>
      </c>
      <c r="J57" s="87">
        <f>F57+H57</f>
        <v>24</v>
      </c>
      <c r="K57" s="87">
        <v>1</v>
      </c>
      <c r="L57" s="87">
        <v>2</v>
      </c>
      <c r="M57" s="87">
        <v>7</v>
      </c>
      <c r="N57" s="87">
        <v>16</v>
      </c>
      <c r="O57" s="87">
        <f>E57*2+G57*3+K57</f>
        <v>23</v>
      </c>
      <c r="P57" s="87">
        <f>M57+N57</f>
        <v>23</v>
      </c>
      <c r="Q57" s="87">
        <v>7</v>
      </c>
      <c r="R57" s="87">
        <v>0</v>
      </c>
      <c r="S57" s="87">
        <v>0</v>
      </c>
      <c r="T57" s="87">
        <v>3</v>
      </c>
      <c r="U57" s="87">
        <v>1</v>
      </c>
      <c r="V57" s="88">
        <f t="shared" ref="V57:V62" si="98">IFERROR(I57/J57,0)</f>
        <v>0.45833333333333331</v>
      </c>
      <c r="W57" s="88">
        <f>IFERROR(O57/(2*(J57+0.44*L57)), 0)</f>
        <v>0.46221864951768493</v>
      </c>
      <c r="X57" s="88">
        <f t="shared" ref="X57:X62" si="99">IFERROR(K57/L57,0)</f>
        <v>0.5</v>
      </c>
      <c r="Y57" s="88">
        <f t="shared" ref="Y57:Y62" si="100">IFERROR(E57/F57,0)</f>
        <v>0.47826086956521741</v>
      </c>
      <c r="Z57" s="88">
        <f t="shared" ref="Z57:Z62" si="101">IFERROR(G57/H57,0)</f>
        <v>0</v>
      </c>
      <c r="AA57" s="89">
        <f>(O57)+(0.4*I57)-(0.7*J57)-(0.4*(L57-K57))+(0.7*M57)+(0.3*N57)+S57+(0.7*Q57)+(0.7*R57)-(0.4*U57)-T57</f>
        <v>21.400000000000002</v>
      </c>
      <c r="AB57" s="167" t="s">
        <v>27</v>
      </c>
    </row>
    <row r="58" spans="1:540" ht="39.950000000000003" customHeight="1" x14ac:dyDescent="0.5">
      <c r="A58" s="44" t="str">
        <f>A57</f>
        <v>too drunk to dunk</v>
      </c>
      <c r="B58" s="44">
        <f>B57</f>
        <v>1</v>
      </c>
      <c r="C58" s="44">
        <f>C57</f>
        <v>7</v>
      </c>
      <c r="D58" s="86" t="s">
        <v>28</v>
      </c>
      <c r="E58" s="90">
        <v>5</v>
      </c>
      <c r="F58" s="90">
        <v>12</v>
      </c>
      <c r="G58" s="90">
        <v>3</v>
      </c>
      <c r="H58" s="90">
        <v>8</v>
      </c>
      <c r="I58" s="90">
        <f t="shared" ref="I58:J61" si="102">E58+G58</f>
        <v>8</v>
      </c>
      <c r="J58" s="90">
        <f t="shared" si="102"/>
        <v>20</v>
      </c>
      <c r="K58" s="90">
        <v>0</v>
      </c>
      <c r="L58" s="90">
        <v>3</v>
      </c>
      <c r="M58" s="90">
        <v>2</v>
      </c>
      <c r="N58" s="90">
        <v>3</v>
      </c>
      <c r="O58" s="90">
        <f t="shared" ref="O58:O61" si="103">E58*2+G58*3+K58</f>
        <v>19</v>
      </c>
      <c r="P58" s="90">
        <f t="shared" ref="P58:P61" si="104">M58+N58</f>
        <v>5</v>
      </c>
      <c r="Q58" s="90">
        <v>3</v>
      </c>
      <c r="R58" s="90">
        <v>0</v>
      </c>
      <c r="S58" s="90">
        <v>0</v>
      </c>
      <c r="T58" s="90">
        <v>2</v>
      </c>
      <c r="U58" s="90">
        <v>0</v>
      </c>
      <c r="V58" s="91">
        <f t="shared" si="98"/>
        <v>0.4</v>
      </c>
      <c r="W58" s="91">
        <f t="shared" ref="W58:W76" si="105">IFERROR(O58/(2*(J58+0.44*L58)), 0)</f>
        <v>0.4455909943714822</v>
      </c>
      <c r="X58" s="91">
        <f t="shared" si="99"/>
        <v>0</v>
      </c>
      <c r="Y58" s="91">
        <f t="shared" si="100"/>
        <v>0.41666666666666669</v>
      </c>
      <c r="Z58" s="91">
        <f t="shared" si="101"/>
        <v>0.375</v>
      </c>
      <c r="AA58" s="92">
        <f>(O58)+(0.4*I58)-(0.7*J58)-(0.4*(L58-K58))+(0.7*M58)+(0.3*N58)+S58+(0.7*Q58)+(0.7*R58)-(0.4*U58)-T58</f>
        <v>9.3999999999999986</v>
      </c>
      <c r="AB58" s="46" t="str">
        <f>AB57</f>
        <v>REG</v>
      </c>
    </row>
    <row r="59" spans="1:540" ht="39.950000000000003" customHeight="1" x14ac:dyDescent="0.5">
      <c r="A59" s="44" t="str">
        <f t="shared" ref="A59:C61" si="106">A58</f>
        <v>too drunk to dunk</v>
      </c>
      <c r="B59" s="44">
        <f t="shared" si="106"/>
        <v>1</v>
      </c>
      <c r="C59" s="44">
        <f t="shared" si="106"/>
        <v>7</v>
      </c>
      <c r="D59" s="86" t="s">
        <v>29</v>
      </c>
      <c r="E59" s="93">
        <v>1</v>
      </c>
      <c r="F59" s="93">
        <v>3</v>
      </c>
      <c r="G59" s="93">
        <v>0</v>
      </c>
      <c r="H59" s="93">
        <v>4</v>
      </c>
      <c r="I59" s="93">
        <f t="shared" si="102"/>
        <v>1</v>
      </c>
      <c r="J59" s="93">
        <f t="shared" si="102"/>
        <v>7</v>
      </c>
      <c r="K59" s="93">
        <v>0</v>
      </c>
      <c r="L59" s="93">
        <v>0</v>
      </c>
      <c r="M59" s="93">
        <v>1</v>
      </c>
      <c r="N59" s="93">
        <v>6</v>
      </c>
      <c r="O59" s="93">
        <f t="shared" si="103"/>
        <v>2</v>
      </c>
      <c r="P59" s="93">
        <f t="shared" si="104"/>
        <v>7</v>
      </c>
      <c r="Q59" s="93">
        <v>2</v>
      </c>
      <c r="R59" s="93">
        <v>0</v>
      </c>
      <c r="S59" s="93">
        <v>0</v>
      </c>
      <c r="T59" s="93">
        <v>1</v>
      </c>
      <c r="U59" s="93">
        <v>0</v>
      </c>
      <c r="V59" s="94">
        <f t="shared" si="98"/>
        <v>0.14285714285714285</v>
      </c>
      <c r="W59" s="94">
        <f t="shared" si="105"/>
        <v>0.14285714285714285</v>
      </c>
      <c r="X59" s="94">
        <f t="shared" si="99"/>
        <v>0</v>
      </c>
      <c r="Y59" s="94">
        <f t="shared" si="100"/>
        <v>0.33333333333333331</v>
      </c>
      <c r="Z59" s="94">
        <f t="shared" si="101"/>
        <v>0</v>
      </c>
      <c r="AA59" s="95">
        <f>(O59)+(0.4*I59)-(0.7*J59)-(0.4*(L59-K59))+(0.7*M59)+(0.3*N59)+S59+(0.7*Q59)+(0.7*R59)-(0.4*U59)-T59</f>
        <v>0.40000000000000013</v>
      </c>
      <c r="AB59" s="46" t="str">
        <f t="shared" ref="AB59:AB63" si="107">AB58</f>
        <v>REG</v>
      </c>
    </row>
    <row r="60" spans="1:540" ht="39.950000000000003" customHeight="1" x14ac:dyDescent="0.5">
      <c r="A60" s="44" t="str">
        <f t="shared" si="106"/>
        <v>too drunk to dunk</v>
      </c>
      <c r="B60" s="44">
        <f t="shared" si="106"/>
        <v>1</v>
      </c>
      <c r="C60" s="44">
        <f t="shared" si="106"/>
        <v>7</v>
      </c>
      <c r="D60" s="86" t="s">
        <v>30</v>
      </c>
      <c r="E60" s="96">
        <v>7</v>
      </c>
      <c r="F60" s="96">
        <v>13</v>
      </c>
      <c r="G60" s="96">
        <v>3</v>
      </c>
      <c r="H60" s="96">
        <v>10</v>
      </c>
      <c r="I60" s="96">
        <f t="shared" si="102"/>
        <v>10</v>
      </c>
      <c r="J60" s="96">
        <f t="shared" si="102"/>
        <v>23</v>
      </c>
      <c r="K60" s="96">
        <v>3</v>
      </c>
      <c r="L60" s="96">
        <v>4</v>
      </c>
      <c r="M60" s="96">
        <v>4</v>
      </c>
      <c r="N60" s="96">
        <v>3</v>
      </c>
      <c r="O60" s="96">
        <f t="shared" si="103"/>
        <v>26</v>
      </c>
      <c r="P60" s="96">
        <f t="shared" si="104"/>
        <v>7</v>
      </c>
      <c r="Q60" s="96">
        <v>5</v>
      </c>
      <c r="R60" s="96">
        <v>0</v>
      </c>
      <c r="S60" s="96">
        <v>5</v>
      </c>
      <c r="T60" s="96">
        <v>1</v>
      </c>
      <c r="U60" s="96">
        <v>1</v>
      </c>
      <c r="V60" s="97">
        <f t="shared" si="98"/>
        <v>0.43478260869565216</v>
      </c>
      <c r="W60" s="97">
        <f t="shared" si="105"/>
        <v>0.52504038772213246</v>
      </c>
      <c r="X60" s="97">
        <f t="shared" si="99"/>
        <v>0.75</v>
      </c>
      <c r="Y60" s="97">
        <f t="shared" si="100"/>
        <v>0.53846153846153844</v>
      </c>
      <c r="Z60" s="97">
        <f t="shared" si="101"/>
        <v>0.3</v>
      </c>
      <c r="AA60" s="98">
        <f>(O60)+(0.4*I60)-(0.7*J60)-(0.4*(L60-K60))+(0.7*M60)+(0.3*N60)+S60+(0.7*Q60)+(0.7*R60)-(0.4*U60)-T60</f>
        <v>24.3</v>
      </c>
      <c r="AB60" s="46" t="str">
        <f t="shared" si="107"/>
        <v>REG</v>
      </c>
    </row>
    <row r="61" spans="1:540" ht="39.950000000000003" customHeight="1" x14ac:dyDescent="0.5">
      <c r="A61" s="44" t="str">
        <f t="shared" si="106"/>
        <v>too drunk to dunk</v>
      </c>
      <c r="B61" s="44">
        <f t="shared" si="106"/>
        <v>1</v>
      </c>
      <c r="C61" s="44">
        <f t="shared" si="106"/>
        <v>7</v>
      </c>
      <c r="D61" s="86" t="s">
        <v>41</v>
      </c>
      <c r="E61" s="99">
        <v>0</v>
      </c>
      <c r="F61" s="99">
        <v>2</v>
      </c>
      <c r="G61" s="99">
        <v>3</v>
      </c>
      <c r="H61" s="99">
        <v>5</v>
      </c>
      <c r="I61" s="99">
        <f t="shared" si="102"/>
        <v>3</v>
      </c>
      <c r="J61" s="99">
        <f t="shared" si="102"/>
        <v>7</v>
      </c>
      <c r="K61" s="99">
        <v>0</v>
      </c>
      <c r="L61" s="99">
        <v>0</v>
      </c>
      <c r="M61" s="99">
        <v>1</v>
      </c>
      <c r="N61" s="99">
        <v>5</v>
      </c>
      <c r="O61" s="99">
        <f t="shared" si="103"/>
        <v>9</v>
      </c>
      <c r="P61" s="99">
        <f t="shared" si="104"/>
        <v>6</v>
      </c>
      <c r="Q61" s="99">
        <v>0</v>
      </c>
      <c r="R61" s="99">
        <v>0</v>
      </c>
      <c r="S61" s="99">
        <v>1</v>
      </c>
      <c r="T61" s="99">
        <v>0</v>
      </c>
      <c r="U61" s="99">
        <v>1</v>
      </c>
      <c r="V61" s="100">
        <f t="shared" si="98"/>
        <v>0.42857142857142855</v>
      </c>
      <c r="W61" s="100">
        <f t="shared" si="105"/>
        <v>0.6428571428571429</v>
      </c>
      <c r="X61" s="100">
        <f t="shared" si="99"/>
        <v>0</v>
      </c>
      <c r="Y61" s="100">
        <f t="shared" si="100"/>
        <v>0</v>
      </c>
      <c r="Z61" s="100">
        <f t="shared" si="101"/>
        <v>0.6</v>
      </c>
      <c r="AA61" s="101">
        <f>(O61)+(0.4*I61)-(0.7*J61)-(0.4*(L61-K61))+(0.7*M61)+(0.3*N61)+S61+(0.7*Q61)+(0.7*R61)-(0.4*U61)-T61</f>
        <v>8.1</v>
      </c>
      <c r="AB61" s="46" t="str">
        <f t="shared" si="107"/>
        <v>REG</v>
      </c>
    </row>
    <row r="62" spans="1:540" ht="39.950000000000003" customHeight="1" x14ac:dyDescent="0.5">
      <c r="A62" s="44" t="str">
        <f>A61</f>
        <v>too drunk to dunk</v>
      </c>
      <c r="B62" s="44">
        <f>B61</f>
        <v>1</v>
      </c>
      <c r="C62" s="44">
        <f>C61</f>
        <v>7</v>
      </c>
      <c r="D62" s="86" t="s">
        <v>32</v>
      </c>
      <c r="E62" s="105">
        <f t="shared" ref="E62:U62" si="108">SUM(E57:E61)</f>
        <v>24</v>
      </c>
      <c r="F62" s="105">
        <f t="shared" si="108"/>
        <v>53</v>
      </c>
      <c r="G62" s="105">
        <f t="shared" si="108"/>
        <v>9</v>
      </c>
      <c r="H62" s="105">
        <f t="shared" si="108"/>
        <v>28</v>
      </c>
      <c r="I62" s="105">
        <f t="shared" si="108"/>
        <v>33</v>
      </c>
      <c r="J62" s="105">
        <f t="shared" si="108"/>
        <v>81</v>
      </c>
      <c r="K62" s="105">
        <f t="shared" si="108"/>
        <v>4</v>
      </c>
      <c r="L62" s="105">
        <f t="shared" si="108"/>
        <v>9</v>
      </c>
      <c r="M62" s="105">
        <f t="shared" si="108"/>
        <v>15</v>
      </c>
      <c r="N62" s="105">
        <f t="shared" si="108"/>
        <v>33</v>
      </c>
      <c r="O62" s="105">
        <f t="shared" si="108"/>
        <v>79</v>
      </c>
      <c r="P62" s="105">
        <f t="shared" si="108"/>
        <v>48</v>
      </c>
      <c r="Q62" s="105">
        <f t="shared" si="108"/>
        <v>17</v>
      </c>
      <c r="R62" s="105">
        <f t="shared" si="108"/>
        <v>0</v>
      </c>
      <c r="S62" s="105">
        <f t="shared" si="108"/>
        <v>6</v>
      </c>
      <c r="T62" s="105">
        <f t="shared" si="108"/>
        <v>7</v>
      </c>
      <c r="U62" s="105">
        <f t="shared" si="108"/>
        <v>3</v>
      </c>
      <c r="V62" s="106">
        <f t="shared" si="98"/>
        <v>0.40740740740740738</v>
      </c>
      <c r="W62" s="106">
        <f t="shared" si="105"/>
        <v>0.46492467043314506</v>
      </c>
      <c r="X62" s="106">
        <f t="shared" si="99"/>
        <v>0.44444444444444442</v>
      </c>
      <c r="Y62" s="106">
        <f t="shared" si="100"/>
        <v>0.45283018867924529</v>
      </c>
      <c r="Z62" s="106">
        <f t="shared" si="101"/>
        <v>0.32142857142857145</v>
      </c>
      <c r="AA62" s="107">
        <f>AVERAGE(AA57:AA61)</f>
        <v>12.72</v>
      </c>
      <c r="AB62" s="46" t="str">
        <f>AB61</f>
        <v>REG</v>
      </c>
    </row>
    <row r="63" spans="1:540" s="42" customFormat="1" ht="39.950000000000003" customHeight="1" x14ac:dyDescent="0.55000000000000004">
      <c r="A63" s="44" t="s">
        <v>33</v>
      </c>
      <c r="B63" s="44">
        <f t="shared" ref="B63:C63" si="109">B62</f>
        <v>1</v>
      </c>
      <c r="C63" s="44">
        <f t="shared" si="109"/>
        <v>7</v>
      </c>
      <c r="D63" s="82" t="s">
        <v>50</v>
      </c>
      <c r="E63" s="83"/>
      <c r="F63" s="83"/>
      <c r="G63" s="83"/>
      <c r="H63" s="83"/>
      <c r="I63" s="83"/>
      <c r="J63" s="83"/>
      <c r="K63" s="83"/>
      <c r="L63" s="83"/>
      <c r="M63" s="83"/>
      <c r="N63" s="83"/>
      <c r="O63" s="83">
        <v>53</v>
      </c>
      <c r="P63" s="83"/>
      <c r="Q63" s="83"/>
      <c r="R63" s="83"/>
      <c r="S63" s="83"/>
      <c r="T63" s="83"/>
      <c r="U63" s="83"/>
      <c r="V63" s="83"/>
      <c r="W63" s="83"/>
      <c r="X63" s="83"/>
      <c r="Y63" s="83"/>
      <c r="Z63" s="83"/>
      <c r="AA63" s="83"/>
      <c r="AB63" s="46" t="str">
        <f t="shared" si="107"/>
        <v>REG</v>
      </c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26"/>
      <c r="JZ63" s="24"/>
      <c r="KA63" s="24"/>
      <c r="KB63" s="24"/>
      <c r="KC63" s="24"/>
      <c r="KD63" s="24"/>
      <c r="KE63" s="24"/>
      <c r="KF63" s="24"/>
      <c r="KG63" s="24"/>
      <c r="KH63" s="24"/>
      <c r="KI63" s="24"/>
      <c r="KJ63" s="24"/>
      <c r="KK63" s="24"/>
      <c r="KL63" s="24"/>
      <c r="KM63" s="24"/>
      <c r="KN63" s="24"/>
      <c r="KO63" s="24"/>
      <c r="KP63" s="24"/>
      <c r="KQ63" s="22"/>
      <c r="KR63" s="22"/>
      <c r="KS63" s="22"/>
      <c r="KT63" s="22"/>
      <c r="KU63" s="23"/>
      <c r="KV63" s="26"/>
      <c r="KW63" s="24"/>
      <c r="KX63" s="24"/>
      <c r="KY63" s="24"/>
      <c r="KZ63" s="24"/>
      <c r="LA63" s="24"/>
      <c r="LB63" s="24"/>
      <c r="LC63" s="24"/>
      <c r="LD63" s="24"/>
      <c r="LE63" s="24"/>
      <c r="LF63" s="24"/>
      <c r="LG63" s="24"/>
      <c r="LH63" s="24"/>
      <c r="LI63" s="24"/>
      <c r="LJ63" s="24"/>
      <c r="LK63" s="24"/>
      <c r="LL63" s="24"/>
      <c r="LM63" s="24"/>
      <c r="LN63" s="22"/>
      <c r="LO63" s="22"/>
      <c r="LP63" s="22"/>
      <c r="LQ63" s="22"/>
      <c r="LR63" s="23"/>
      <c r="LS63" s="26"/>
      <c r="LT63" s="24"/>
      <c r="LU63" s="24"/>
      <c r="LV63" s="24"/>
      <c r="LW63" s="24"/>
      <c r="LX63" s="24"/>
      <c r="LY63" s="24"/>
      <c r="LZ63" s="24"/>
      <c r="MA63" s="24"/>
      <c r="MB63" s="24"/>
      <c r="MC63" s="24"/>
      <c r="MD63" s="24"/>
      <c r="ME63" s="24"/>
      <c r="MF63" s="24"/>
      <c r="MG63" s="24"/>
      <c r="MH63" s="24"/>
      <c r="MI63" s="24"/>
      <c r="MJ63" s="24"/>
      <c r="MK63" s="22"/>
      <c r="ML63" s="22"/>
      <c r="MM63" s="22"/>
      <c r="MN63" s="22"/>
      <c r="MO63" s="23"/>
      <c r="MP63" s="26"/>
      <c r="MQ63" s="24"/>
      <c r="MR63" s="24"/>
      <c r="MS63" s="24"/>
      <c r="MT63" s="24"/>
      <c r="MU63" s="24"/>
      <c r="MV63" s="24"/>
      <c r="MW63" s="24"/>
      <c r="MX63" s="24"/>
      <c r="MY63" s="24"/>
      <c r="MZ63" s="24"/>
      <c r="NA63" s="24"/>
      <c r="NB63" s="24"/>
      <c r="NC63" s="24"/>
      <c r="ND63" s="24"/>
      <c r="NE63" s="24"/>
      <c r="NF63" s="24"/>
      <c r="NG63" s="24"/>
      <c r="NH63" s="22"/>
      <c r="NI63" s="22"/>
      <c r="NJ63" s="22"/>
      <c r="NK63" s="22"/>
      <c r="NL63" s="23"/>
      <c r="NM63" s="26"/>
      <c r="NN63" s="24"/>
      <c r="NO63" s="24"/>
      <c r="NP63" s="24"/>
      <c r="NQ63" s="24"/>
      <c r="NR63" s="24"/>
      <c r="NS63" s="24"/>
      <c r="NT63" s="24"/>
      <c r="NU63" s="24"/>
      <c r="NV63" s="24"/>
      <c r="NW63" s="24"/>
      <c r="NX63" s="24"/>
      <c r="NY63" s="24"/>
      <c r="NZ63" s="24"/>
      <c r="OA63" s="24"/>
      <c r="OB63" s="24"/>
      <c r="OC63" s="24"/>
      <c r="OD63" s="24"/>
      <c r="OE63" s="22"/>
      <c r="OF63" s="22"/>
      <c r="OG63" s="22"/>
      <c r="OH63" s="22"/>
      <c r="OI63" s="23"/>
      <c r="OJ63" s="26"/>
      <c r="OK63" s="24"/>
      <c r="OL63" s="24"/>
      <c r="OM63" s="24"/>
      <c r="ON63" s="24"/>
      <c r="OO63" s="24"/>
      <c r="OP63" s="24"/>
      <c r="OQ63" s="24"/>
      <c r="OR63" s="24"/>
      <c r="OS63" s="24"/>
      <c r="OT63" s="24"/>
      <c r="OU63" s="24"/>
      <c r="OV63" s="24"/>
      <c r="OW63" s="24"/>
      <c r="OX63" s="24"/>
      <c r="OY63" s="24"/>
      <c r="OZ63" s="24"/>
      <c r="PA63" s="24"/>
      <c r="PB63" s="22"/>
      <c r="PC63" s="22"/>
      <c r="PD63" s="22"/>
      <c r="PE63" s="22"/>
      <c r="PF63" s="23"/>
      <c r="PG63" s="26"/>
      <c r="PH63" s="24"/>
      <c r="PI63" s="24"/>
      <c r="PJ63" s="24"/>
      <c r="PK63" s="24"/>
      <c r="PL63" s="24"/>
      <c r="PM63" s="24"/>
      <c r="PN63" s="24"/>
      <c r="PO63" s="24"/>
      <c r="PP63" s="24"/>
      <c r="PQ63" s="24"/>
      <c r="PR63" s="24"/>
      <c r="PS63" s="24"/>
      <c r="PT63" s="24"/>
      <c r="PU63" s="24"/>
      <c r="PV63" s="24"/>
      <c r="PW63" s="24"/>
      <c r="PX63" s="24"/>
      <c r="PY63" s="22"/>
      <c r="PZ63" s="22"/>
      <c r="QA63" s="22"/>
      <c r="QB63" s="22"/>
      <c r="QC63" s="23"/>
      <c r="QD63" s="26"/>
      <c r="QE63" s="24"/>
      <c r="QF63" s="24"/>
      <c r="QG63" s="24"/>
      <c r="QH63" s="24"/>
      <c r="QI63" s="24"/>
      <c r="QJ63" s="24"/>
      <c r="QK63" s="24"/>
      <c r="QL63" s="24"/>
      <c r="QM63" s="24"/>
      <c r="QN63" s="24"/>
      <c r="QO63" s="24"/>
      <c r="QP63" s="24"/>
      <c r="QQ63" s="24"/>
      <c r="QR63" s="24"/>
      <c r="QS63" s="24"/>
      <c r="QT63" s="24"/>
      <c r="QU63" s="24"/>
      <c r="QV63" s="22"/>
      <c r="QW63" s="22"/>
      <c r="QX63" s="22"/>
      <c r="QY63" s="22"/>
      <c r="QZ63" s="23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</row>
    <row r="64" spans="1:540" ht="39.950000000000003" customHeight="1" x14ac:dyDescent="0.5">
      <c r="A64" s="44" t="str">
        <f>D70</f>
        <v>Kawhi About It</v>
      </c>
      <c r="B64" s="44">
        <v>1</v>
      </c>
      <c r="C64" s="44">
        <v>8</v>
      </c>
      <c r="D64" s="86" t="s">
        <v>28</v>
      </c>
      <c r="E64" s="90">
        <v>6</v>
      </c>
      <c r="F64" s="90">
        <v>15</v>
      </c>
      <c r="G64" s="90">
        <v>6</v>
      </c>
      <c r="H64" s="90">
        <v>20</v>
      </c>
      <c r="I64" s="90">
        <f t="shared" ref="I64:J68" si="110">E64+G64</f>
        <v>12</v>
      </c>
      <c r="J64" s="90">
        <f t="shared" si="110"/>
        <v>35</v>
      </c>
      <c r="K64" s="90">
        <v>0</v>
      </c>
      <c r="L64" s="90">
        <v>0</v>
      </c>
      <c r="M64" s="90">
        <v>3</v>
      </c>
      <c r="N64" s="90">
        <v>5</v>
      </c>
      <c r="O64" s="90">
        <f t="shared" ref="O64:O68" si="111">E64*2+G64*3+K64</f>
        <v>30</v>
      </c>
      <c r="P64" s="90">
        <f t="shared" ref="P64:P68" si="112">M64+N64</f>
        <v>8</v>
      </c>
      <c r="Q64" s="90">
        <v>2</v>
      </c>
      <c r="R64" s="90">
        <v>2</v>
      </c>
      <c r="S64" s="90">
        <v>3</v>
      </c>
      <c r="T64" s="90">
        <v>1</v>
      </c>
      <c r="U64" s="90">
        <v>1</v>
      </c>
      <c r="V64" s="91">
        <f t="shared" ref="V64:V69" si="113">IFERROR(I64/J64,0)</f>
        <v>0.34285714285714286</v>
      </c>
      <c r="W64" s="91">
        <f t="shared" si="105"/>
        <v>0.42857142857142855</v>
      </c>
      <c r="X64" s="91">
        <f t="shared" ref="X64:X69" si="114">IFERROR(K64/L64,0)</f>
        <v>0</v>
      </c>
      <c r="Y64" s="91">
        <f t="shared" ref="Y64:Y69" si="115">IFERROR(E64/F64,0)</f>
        <v>0.4</v>
      </c>
      <c r="Z64" s="91">
        <f t="shared" ref="Z64:Z69" si="116">IFERROR(G64/H64,0)</f>
        <v>0.3</v>
      </c>
      <c r="AA64" s="92">
        <f>(O64)+(0.4*I64)-(0.7*J64)-(0.4*(L64-K64))+(0.7*M64)+(0.3*N64)+S64+(0.7*Q64)+(0.7*R64)-(0.4*U64)-T64</f>
        <v>18.299999999999997</v>
      </c>
      <c r="AB64" s="167" t="s">
        <v>53</v>
      </c>
    </row>
    <row r="65" spans="1:540" ht="39.950000000000003" customHeight="1" x14ac:dyDescent="0.5">
      <c r="A65" s="44" t="str">
        <f t="shared" ref="A65:C67" si="117">A64</f>
        <v>Kawhi About It</v>
      </c>
      <c r="B65" s="44">
        <f t="shared" si="117"/>
        <v>1</v>
      </c>
      <c r="C65" s="44">
        <f t="shared" si="117"/>
        <v>8</v>
      </c>
      <c r="D65" s="86" t="s">
        <v>29</v>
      </c>
      <c r="E65" s="93">
        <v>2</v>
      </c>
      <c r="F65" s="93">
        <v>3</v>
      </c>
      <c r="G65" s="93">
        <v>2</v>
      </c>
      <c r="H65" s="93">
        <v>10</v>
      </c>
      <c r="I65" s="93">
        <f t="shared" si="110"/>
        <v>4</v>
      </c>
      <c r="J65" s="93">
        <f t="shared" si="110"/>
        <v>13</v>
      </c>
      <c r="K65" s="93">
        <v>0</v>
      </c>
      <c r="L65" s="93">
        <v>0</v>
      </c>
      <c r="M65" s="93">
        <v>2</v>
      </c>
      <c r="N65" s="93">
        <v>5</v>
      </c>
      <c r="O65" s="93">
        <f t="shared" si="111"/>
        <v>10</v>
      </c>
      <c r="P65" s="93">
        <f t="shared" si="112"/>
        <v>7</v>
      </c>
      <c r="Q65" s="93">
        <v>2</v>
      </c>
      <c r="R65" s="93">
        <v>0</v>
      </c>
      <c r="S65" s="93">
        <v>0</v>
      </c>
      <c r="T65" s="93">
        <v>0</v>
      </c>
      <c r="U65" s="93">
        <v>2</v>
      </c>
      <c r="V65" s="94">
        <f t="shared" si="113"/>
        <v>0.30769230769230771</v>
      </c>
      <c r="W65" s="94">
        <f t="shared" si="105"/>
        <v>0.38461538461538464</v>
      </c>
      <c r="X65" s="94">
        <f t="shared" si="114"/>
        <v>0</v>
      </c>
      <c r="Y65" s="94">
        <f t="shared" si="115"/>
        <v>0.66666666666666663</v>
      </c>
      <c r="Z65" s="94">
        <f t="shared" si="116"/>
        <v>0.2</v>
      </c>
      <c r="AA65" s="95">
        <f>(O65)+(0.4*I65)-(0.7*J65)-(0.4*(L65-K65))+(0.7*M65)+(0.3*N65)+S65+(0.7*Q65)+(0.7*R65)-(0.4*U65)-T65</f>
        <v>6.0000000000000009</v>
      </c>
      <c r="AB65" s="46" t="str">
        <f t="shared" ref="AB65:AB70" si="118">AB64</f>
        <v>FINAL</v>
      </c>
    </row>
    <row r="66" spans="1:540" ht="39.950000000000003" customHeight="1" x14ac:dyDescent="0.5">
      <c r="A66" s="44" t="str">
        <f t="shared" si="117"/>
        <v>Kawhi About It</v>
      </c>
      <c r="B66" s="44">
        <f t="shared" si="117"/>
        <v>1</v>
      </c>
      <c r="C66" s="44">
        <f t="shared" si="117"/>
        <v>8</v>
      </c>
      <c r="D66" s="86" t="s">
        <v>30</v>
      </c>
      <c r="E66" s="96">
        <v>8</v>
      </c>
      <c r="F66" s="96">
        <v>15</v>
      </c>
      <c r="G66" s="96">
        <v>4</v>
      </c>
      <c r="H66" s="96">
        <v>15</v>
      </c>
      <c r="I66" s="96">
        <f t="shared" si="110"/>
        <v>12</v>
      </c>
      <c r="J66" s="96">
        <f t="shared" si="110"/>
        <v>30</v>
      </c>
      <c r="K66" s="96">
        <v>2</v>
      </c>
      <c r="L66" s="96">
        <v>3</v>
      </c>
      <c r="M66" s="96">
        <v>1</v>
      </c>
      <c r="N66" s="96">
        <v>5</v>
      </c>
      <c r="O66" s="96">
        <f t="shared" si="111"/>
        <v>30</v>
      </c>
      <c r="P66" s="96">
        <f t="shared" si="112"/>
        <v>6</v>
      </c>
      <c r="Q66" s="96">
        <v>3</v>
      </c>
      <c r="R66" s="96">
        <v>0</v>
      </c>
      <c r="S66" s="96">
        <v>7</v>
      </c>
      <c r="T66" s="96">
        <v>4</v>
      </c>
      <c r="U66" s="96">
        <v>1</v>
      </c>
      <c r="V66" s="97">
        <f t="shared" si="113"/>
        <v>0.4</v>
      </c>
      <c r="W66" s="97">
        <f t="shared" si="105"/>
        <v>0.47892720306513409</v>
      </c>
      <c r="X66" s="97">
        <f t="shared" si="114"/>
        <v>0.66666666666666663</v>
      </c>
      <c r="Y66" s="97">
        <f t="shared" si="115"/>
        <v>0.53333333333333333</v>
      </c>
      <c r="Z66" s="97">
        <f t="shared" si="116"/>
        <v>0.26666666666666666</v>
      </c>
      <c r="AA66" s="98">
        <f>(O66)+(0.4*I66)-(0.7*J66)-(0.4*(L66-K66))+(0.7*M66)+(0.3*N66)+S66+(0.7*Q66)+(0.7*R66)-(0.4*U66)-T66</f>
        <v>20.299999999999997</v>
      </c>
      <c r="AB66" s="46" t="str">
        <f t="shared" si="118"/>
        <v>FINAL</v>
      </c>
    </row>
    <row r="67" spans="1:540" ht="39.950000000000003" customHeight="1" x14ac:dyDescent="0.5">
      <c r="A67" s="44" t="str">
        <f t="shared" si="117"/>
        <v>Kawhi About It</v>
      </c>
      <c r="B67" s="44">
        <f t="shared" si="117"/>
        <v>1</v>
      </c>
      <c r="C67" s="44">
        <f t="shared" si="117"/>
        <v>8</v>
      </c>
      <c r="D67" s="86" t="s">
        <v>41</v>
      </c>
      <c r="E67" s="99">
        <v>0</v>
      </c>
      <c r="F67" s="99">
        <v>0</v>
      </c>
      <c r="G67" s="99">
        <v>1</v>
      </c>
      <c r="H67" s="99">
        <v>7</v>
      </c>
      <c r="I67" s="99">
        <f t="shared" si="110"/>
        <v>1</v>
      </c>
      <c r="J67" s="99">
        <f t="shared" si="110"/>
        <v>7</v>
      </c>
      <c r="K67" s="99">
        <v>0</v>
      </c>
      <c r="L67" s="99">
        <v>0</v>
      </c>
      <c r="M67" s="99">
        <v>0</v>
      </c>
      <c r="N67" s="99">
        <v>2</v>
      </c>
      <c r="O67" s="99">
        <f t="shared" si="111"/>
        <v>3</v>
      </c>
      <c r="P67" s="99">
        <f t="shared" si="112"/>
        <v>2</v>
      </c>
      <c r="Q67" s="99">
        <v>0</v>
      </c>
      <c r="R67" s="99">
        <v>0</v>
      </c>
      <c r="S67" s="99">
        <v>0</v>
      </c>
      <c r="T67" s="99">
        <v>0</v>
      </c>
      <c r="U67" s="99">
        <v>0</v>
      </c>
      <c r="V67" s="100">
        <f t="shared" si="113"/>
        <v>0.14285714285714285</v>
      </c>
      <c r="W67" s="100">
        <f t="shared" si="105"/>
        <v>0.21428571428571427</v>
      </c>
      <c r="X67" s="100">
        <f t="shared" si="114"/>
        <v>0</v>
      </c>
      <c r="Y67" s="100">
        <f t="shared" si="115"/>
        <v>0</v>
      </c>
      <c r="Z67" s="100">
        <f t="shared" si="116"/>
        <v>0.14285714285714285</v>
      </c>
      <c r="AA67" s="101">
        <f>(O67)+(0.4*I67)-(0.7*J67)-(0.4*(L67-K67))+(0.7*M67)+(0.3*N67)+S67+(0.7*Q67)+(0.7*R67)-(0.4*U67)-T67</f>
        <v>-0.89999999999999958</v>
      </c>
      <c r="AB67" s="46" t="str">
        <f t="shared" si="118"/>
        <v>FINAL</v>
      </c>
    </row>
    <row r="68" spans="1:540" ht="39.950000000000003" customHeight="1" x14ac:dyDescent="0.5">
      <c r="A68" s="44" t="str">
        <f t="shared" ref="A68:C69" si="119">A66</f>
        <v>Kawhi About It</v>
      </c>
      <c r="B68" s="44">
        <f t="shared" si="119"/>
        <v>1</v>
      </c>
      <c r="C68" s="44">
        <f t="shared" si="119"/>
        <v>8</v>
      </c>
      <c r="D68" s="86" t="s">
        <v>42</v>
      </c>
      <c r="E68" s="102">
        <v>4</v>
      </c>
      <c r="F68" s="102">
        <v>7</v>
      </c>
      <c r="G68" s="102">
        <v>0</v>
      </c>
      <c r="H68" s="102">
        <v>3</v>
      </c>
      <c r="I68" s="102">
        <f t="shared" si="110"/>
        <v>4</v>
      </c>
      <c r="J68" s="102">
        <f t="shared" si="110"/>
        <v>10</v>
      </c>
      <c r="K68" s="102">
        <v>0</v>
      </c>
      <c r="L68" s="102">
        <v>0</v>
      </c>
      <c r="M68" s="102">
        <v>12</v>
      </c>
      <c r="N68" s="102">
        <v>8</v>
      </c>
      <c r="O68" s="102">
        <f t="shared" si="111"/>
        <v>8</v>
      </c>
      <c r="P68" s="102">
        <f t="shared" si="112"/>
        <v>20</v>
      </c>
      <c r="Q68" s="102">
        <v>3</v>
      </c>
      <c r="R68" s="102">
        <v>0</v>
      </c>
      <c r="S68" s="102">
        <v>1</v>
      </c>
      <c r="T68" s="102">
        <v>2</v>
      </c>
      <c r="U68" s="102">
        <v>2</v>
      </c>
      <c r="V68" s="103">
        <f t="shared" si="113"/>
        <v>0.4</v>
      </c>
      <c r="W68" s="103">
        <f t="shared" si="105"/>
        <v>0.4</v>
      </c>
      <c r="X68" s="103">
        <f t="shared" si="114"/>
        <v>0</v>
      </c>
      <c r="Y68" s="103">
        <f t="shared" si="115"/>
        <v>0.5714285714285714</v>
      </c>
      <c r="Z68" s="103">
        <f t="shared" si="116"/>
        <v>0</v>
      </c>
      <c r="AA68" s="104">
        <f>(O68)+(0.4*I68)-(0.7*J68)-(0.4*(L68-K68))+(0.7*M68)+(0.3*N68)+S68+(0.7*Q68)+(0.7*R68)-(0.4*U68)-T68</f>
        <v>13.7</v>
      </c>
      <c r="AB68" s="46" t="str">
        <f>AB67</f>
        <v>FINAL</v>
      </c>
    </row>
    <row r="69" spans="1:540" ht="39.950000000000003" customHeight="1" x14ac:dyDescent="0.5">
      <c r="A69" s="44" t="str">
        <f t="shared" si="119"/>
        <v>Kawhi About It</v>
      </c>
      <c r="B69" s="44">
        <f t="shared" si="119"/>
        <v>1</v>
      </c>
      <c r="C69" s="44">
        <f t="shared" si="119"/>
        <v>8</v>
      </c>
      <c r="D69" s="86" t="s">
        <v>32</v>
      </c>
      <c r="E69" s="105">
        <f t="shared" ref="E69:U69" si="120">SUM(E64:E68)</f>
        <v>20</v>
      </c>
      <c r="F69" s="105">
        <f t="shared" si="120"/>
        <v>40</v>
      </c>
      <c r="G69" s="105">
        <f t="shared" si="120"/>
        <v>13</v>
      </c>
      <c r="H69" s="105">
        <f t="shared" si="120"/>
        <v>55</v>
      </c>
      <c r="I69" s="105">
        <f t="shared" si="120"/>
        <v>33</v>
      </c>
      <c r="J69" s="105">
        <f t="shared" si="120"/>
        <v>95</v>
      </c>
      <c r="K69" s="105">
        <f t="shared" si="120"/>
        <v>2</v>
      </c>
      <c r="L69" s="105">
        <f t="shared" si="120"/>
        <v>3</v>
      </c>
      <c r="M69" s="105">
        <f t="shared" si="120"/>
        <v>18</v>
      </c>
      <c r="N69" s="105">
        <f t="shared" si="120"/>
        <v>25</v>
      </c>
      <c r="O69" s="105">
        <f t="shared" si="120"/>
        <v>81</v>
      </c>
      <c r="P69" s="105">
        <f t="shared" si="120"/>
        <v>43</v>
      </c>
      <c r="Q69" s="105">
        <f t="shared" si="120"/>
        <v>10</v>
      </c>
      <c r="R69" s="105">
        <f t="shared" si="120"/>
        <v>2</v>
      </c>
      <c r="S69" s="105">
        <f t="shared" si="120"/>
        <v>11</v>
      </c>
      <c r="T69" s="105">
        <f t="shared" si="120"/>
        <v>7</v>
      </c>
      <c r="U69" s="105">
        <f t="shared" si="120"/>
        <v>6</v>
      </c>
      <c r="V69" s="106">
        <f t="shared" si="113"/>
        <v>0.3473684210526316</v>
      </c>
      <c r="W69" s="106">
        <f t="shared" si="105"/>
        <v>0.42047342192691034</v>
      </c>
      <c r="X69" s="106">
        <f t="shared" si="114"/>
        <v>0.66666666666666663</v>
      </c>
      <c r="Y69" s="106">
        <f t="shared" si="115"/>
        <v>0.5</v>
      </c>
      <c r="Z69" s="106">
        <f t="shared" si="116"/>
        <v>0.23636363636363636</v>
      </c>
      <c r="AA69" s="107">
        <f>AVERAGE(AA64:AA68)</f>
        <v>11.479999999999999</v>
      </c>
      <c r="AB69" s="46" t="str">
        <f>AB68</f>
        <v>FINAL</v>
      </c>
    </row>
    <row r="70" spans="1:540" s="42" customFormat="1" ht="39.950000000000003" customHeight="1" x14ac:dyDescent="0.55000000000000004">
      <c r="A70" s="44" t="s">
        <v>33</v>
      </c>
      <c r="B70" s="44">
        <f t="shared" ref="B70:C70" si="121">B69</f>
        <v>1</v>
      </c>
      <c r="C70" s="44">
        <f t="shared" si="121"/>
        <v>8</v>
      </c>
      <c r="D70" s="82" t="s">
        <v>40</v>
      </c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>
        <v>104</v>
      </c>
      <c r="P70" s="83"/>
      <c r="Q70" s="83"/>
      <c r="R70" s="83"/>
      <c r="S70" s="83"/>
      <c r="T70" s="83"/>
      <c r="U70" s="83"/>
      <c r="V70" s="83"/>
      <c r="W70" s="83"/>
      <c r="X70" s="83"/>
      <c r="Y70" s="83"/>
      <c r="Z70" s="83"/>
      <c r="AA70" s="83"/>
      <c r="AB70" s="46" t="str">
        <f t="shared" si="118"/>
        <v>FINAL</v>
      </c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26"/>
      <c r="JZ70" s="24"/>
      <c r="KA70" s="24"/>
      <c r="KB70" s="24"/>
      <c r="KC70" s="24"/>
      <c r="KD70" s="24"/>
      <c r="KE70" s="24"/>
      <c r="KF70" s="24"/>
      <c r="KG70" s="24"/>
      <c r="KH70" s="24"/>
      <c r="KI70" s="24"/>
      <c r="KJ70" s="24"/>
      <c r="KK70" s="24"/>
      <c r="KL70" s="24"/>
      <c r="KM70" s="24"/>
      <c r="KN70" s="24"/>
      <c r="KO70" s="24"/>
      <c r="KP70" s="24"/>
      <c r="KQ70" s="22"/>
      <c r="KR70" s="22"/>
      <c r="KS70" s="22"/>
      <c r="KT70" s="22"/>
      <c r="KU70" s="23"/>
      <c r="KV70" s="26"/>
      <c r="KW70" s="24"/>
      <c r="KX70" s="24"/>
      <c r="KY70" s="24"/>
      <c r="KZ70" s="24"/>
      <c r="LA70" s="24"/>
      <c r="LB70" s="24"/>
      <c r="LC70" s="24"/>
      <c r="LD70" s="24"/>
      <c r="LE70" s="24"/>
      <c r="LF70" s="24"/>
      <c r="LG70" s="24"/>
      <c r="LH70" s="24"/>
      <c r="LI70" s="24"/>
      <c r="LJ70" s="24"/>
      <c r="LK70" s="24"/>
      <c r="LL70" s="24"/>
      <c r="LM70" s="24"/>
      <c r="LN70" s="22"/>
      <c r="LO70" s="22"/>
      <c r="LP70" s="22"/>
      <c r="LQ70" s="22"/>
      <c r="LR70" s="23"/>
      <c r="LS70" s="26"/>
      <c r="LT70" s="24"/>
      <c r="LU70" s="24"/>
      <c r="LV70" s="24"/>
      <c r="LW70" s="24"/>
      <c r="LX70" s="24"/>
      <c r="LY70" s="24"/>
      <c r="LZ70" s="24"/>
      <c r="MA70" s="24"/>
      <c r="MB70" s="24"/>
      <c r="MC70" s="24"/>
      <c r="MD70" s="24"/>
      <c r="ME70" s="24"/>
      <c r="MF70" s="24"/>
      <c r="MG70" s="24"/>
      <c r="MH70" s="24"/>
      <c r="MI70" s="24"/>
      <c r="MJ70" s="24"/>
      <c r="MK70" s="22"/>
      <c r="ML70" s="22"/>
      <c r="MM70" s="22"/>
      <c r="MN70" s="22"/>
      <c r="MO70" s="23"/>
      <c r="MP70" s="26"/>
      <c r="MQ70" s="24"/>
      <c r="MR70" s="24"/>
      <c r="MS70" s="24"/>
      <c r="MT70" s="24"/>
      <c r="MU70" s="24"/>
      <c r="MV70" s="24"/>
      <c r="MW70" s="24"/>
      <c r="MX70" s="24"/>
      <c r="MY70" s="24"/>
      <c r="MZ70" s="24"/>
      <c r="NA70" s="24"/>
      <c r="NB70" s="24"/>
      <c r="NC70" s="24"/>
      <c r="ND70" s="24"/>
      <c r="NE70" s="24"/>
      <c r="NF70" s="24"/>
      <c r="NG70" s="24"/>
      <c r="NH70" s="22"/>
      <c r="NI70" s="22"/>
      <c r="NJ70" s="22"/>
      <c r="NK70" s="22"/>
      <c r="NL70" s="23"/>
      <c r="NM70" s="26"/>
      <c r="NN70" s="24"/>
      <c r="NO70" s="24"/>
      <c r="NP70" s="24"/>
      <c r="NQ70" s="24"/>
      <c r="NR70" s="24"/>
      <c r="NS70" s="24"/>
      <c r="NT70" s="24"/>
      <c r="NU70" s="24"/>
      <c r="NV70" s="24"/>
      <c r="NW70" s="24"/>
      <c r="NX70" s="24"/>
      <c r="NY70" s="24"/>
      <c r="NZ70" s="24"/>
      <c r="OA70" s="24"/>
      <c r="OB70" s="24"/>
      <c r="OC70" s="24"/>
      <c r="OD70" s="24"/>
      <c r="OE70" s="22"/>
      <c r="OF70" s="22"/>
      <c r="OG70" s="22"/>
      <c r="OH70" s="22"/>
      <c r="OI70" s="23"/>
      <c r="OJ70" s="26"/>
      <c r="OK70" s="24"/>
      <c r="OL70" s="24"/>
      <c r="OM70" s="24"/>
      <c r="ON70" s="24"/>
      <c r="OO70" s="24"/>
      <c r="OP70" s="24"/>
      <c r="OQ70" s="24"/>
      <c r="OR70" s="24"/>
      <c r="OS70" s="24"/>
      <c r="OT70" s="24"/>
      <c r="OU70" s="24"/>
      <c r="OV70" s="24"/>
      <c r="OW70" s="24"/>
      <c r="OX70" s="24"/>
      <c r="OY70" s="24"/>
      <c r="OZ70" s="24"/>
      <c r="PA70" s="24"/>
      <c r="PB70" s="22"/>
      <c r="PC70" s="22"/>
      <c r="PD70" s="22"/>
      <c r="PE70" s="22"/>
      <c r="PF70" s="23"/>
      <c r="PG70" s="26"/>
      <c r="PH70" s="24"/>
      <c r="PI70" s="24"/>
      <c r="PJ70" s="24"/>
      <c r="PK70" s="24"/>
      <c r="PL70" s="24"/>
      <c r="PM70" s="24"/>
      <c r="PN70" s="24"/>
      <c r="PO70" s="24"/>
      <c r="PP70" s="24"/>
      <c r="PQ70" s="24"/>
      <c r="PR70" s="24"/>
      <c r="PS70" s="24"/>
      <c r="PT70" s="24"/>
      <c r="PU70" s="24"/>
      <c r="PV70" s="24"/>
      <c r="PW70" s="24"/>
      <c r="PX70" s="24"/>
      <c r="PY70" s="22"/>
      <c r="PZ70" s="22"/>
      <c r="QA70" s="22"/>
      <c r="QB70" s="22"/>
      <c r="QC70" s="23"/>
      <c r="QD70" s="26"/>
      <c r="QE70" s="24"/>
      <c r="QF70" s="24"/>
      <c r="QG70" s="24"/>
      <c r="QH70" s="24"/>
      <c r="QI70" s="24"/>
      <c r="QJ70" s="24"/>
      <c r="QK70" s="24"/>
      <c r="QL70" s="24"/>
      <c r="QM70" s="24"/>
      <c r="QN70" s="24"/>
      <c r="QO70" s="24"/>
      <c r="QP70" s="24"/>
      <c r="QQ70" s="24"/>
      <c r="QR70" s="24"/>
      <c r="QS70" s="24"/>
      <c r="QT70" s="24"/>
      <c r="QU70" s="24"/>
      <c r="QV70" s="22"/>
      <c r="QW70" s="22"/>
      <c r="QX70" s="22"/>
      <c r="QY70" s="22"/>
      <c r="QZ70" s="23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</row>
    <row r="71" spans="1:540" ht="39.950000000000003" customHeight="1" x14ac:dyDescent="0.5">
      <c r="A71" s="44" t="str">
        <f>D77</f>
        <v>Goon Squad</v>
      </c>
      <c r="B71" s="44">
        <v>2</v>
      </c>
      <c r="C71" s="44">
        <v>-3</v>
      </c>
      <c r="D71" s="86" t="s">
        <v>28</v>
      </c>
      <c r="E71" s="90">
        <v>6</v>
      </c>
      <c r="F71" s="90">
        <v>10</v>
      </c>
      <c r="G71" s="90">
        <v>1</v>
      </c>
      <c r="H71" s="90">
        <v>7</v>
      </c>
      <c r="I71" s="90">
        <f t="shared" ref="I71:J75" si="122">E71+G71</f>
        <v>7</v>
      </c>
      <c r="J71" s="90">
        <f t="shared" si="122"/>
        <v>17</v>
      </c>
      <c r="K71" s="90">
        <v>2</v>
      </c>
      <c r="L71" s="90">
        <v>3</v>
      </c>
      <c r="M71" s="90">
        <v>1</v>
      </c>
      <c r="N71" s="90">
        <v>3</v>
      </c>
      <c r="O71" s="90">
        <f t="shared" ref="O71:O75" si="123">E71*2+G71*3+K71</f>
        <v>17</v>
      </c>
      <c r="P71" s="90">
        <f t="shared" ref="P71:P75" si="124">M71+N71</f>
        <v>4</v>
      </c>
      <c r="Q71" s="90">
        <v>2</v>
      </c>
      <c r="R71" s="90">
        <v>2</v>
      </c>
      <c r="S71" s="90">
        <v>4</v>
      </c>
      <c r="T71" s="90">
        <v>2</v>
      </c>
      <c r="U71" s="90">
        <v>1</v>
      </c>
      <c r="V71" s="91">
        <f t="shared" ref="V71:V76" si="125">IFERROR(I71/J71,0)</f>
        <v>0.41176470588235292</v>
      </c>
      <c r="W71" s="91">
        <f t="shared" si="105"/>
        <v>0.46397379912663755</v>
      </c>
      <c r="X71" s="91">
        <f t="shared" ref="X71:X76" si="126">IFERROR(K71/L71,0)</f>
        <v>0.66666666666666663</v>
      </c>
      <c r="Y71" s="91">
        <f t="shared" ref="Y71:Y76" si="127">IFERROR(E71/F71,0)</f>
        <v>0.6</v>
      </c>
      <c r="Z71" s="91">
        <f t="shared" ref="Z71:Z76" si="128">IFERROR(G71/H71,0)</f>
        <v>0.14285714285714285</v>
      </c>
      <c r="AA71" s="92">
        <f>(O71)+(0.4*I71)-(0.7*J71)-(0.4*(L71-K71))+(0.7*M71)+(0.3*N71)+S71+(0.7*Q71)+(0.7*R71)-(0.4*U71)-T71</f>
        <v>13.500000000000002</v>
      </c>
      <c r="AB71" s="167" t="s">
        <v>31</v>
      </c>
    </row>
    <row r="72" spans="1:540" ht="39.950000000000003" customHeight="1" x14ac:dyDescent="0.5">
      <c r="A72" s="44" t="str">
        <f t="shared" ref="A72:C74" si="129">A71</f>
        <v>Goon Squad</v>
      </c>
      <c r="B72" s="44">
        <f t="shared" si="129"/>
        <v>2</v>
      </c>
      <c r="C72" s="44">
        <f t="shared" si="129"/>
        <v>-3</v>
      </c>
      <c r="D72" s="86" t="s">
        <v>29</v>
      </c>
      <c r="E72" s="93">
        <v>0</v>
      </c>
      <c r="F72" s="93">
        <v>0</v>
      </c>
      <c r="G72" s="93">
        <v>1</v>
      </c>
      <c r="H72" s="93">
        <v>3</v>
      </c>
      <c r="I72" s="93">
        <f t="shared" si="122"/>
        <v>1</v>
      </c>
      <c r="J72" s="93">
        <f t="shared" si="122"/>
        <v>3</v>
      </c>
      <c r="K72" s="93">
        <v>0</v>
      </c>
      <c r="L72" s="93">
        <v>0</v>
      </c>
      <c r="M72" s="93">
        <v>1</v>
      </c>
      <c r="N72" s="93">
        <v>3</v>
      </c>
      <c r="O72" s="93">
        <f t="shared" si="123"/>
        <v>3</v>
      </c>
      <c r="P72" s="93">
        <f t="shared" si="124"/>
        <v>4</v>
      </c>
      <c r="Q72" s="93">
        <v>6</v>
      </c>
      <c r="R72" s="93">
        <v>0</v>
      </c>
      <c r="S72" s="93">
        <v>0</v>
      </c>
      <c r="T72" s="93">
        <v>1</v>
      </c>
      <c r="U72" s="93">
        <v>2</v>
      </c>
      <c r="V72" s="94">
        <f t="shared" si="125"/>
        <v>0.33333333333333331</v>
      </c>
      <c r="W72" s="94">
        <f t="shared" si="105"/>
        <v>0.5</v>
      </c>
      <c r="X72" s="94">
        <f t="shared" si="126"/>
        <v>0</v>
      </c>
      <c r="Y72" s="94">
        <f t="shared" si="127"/>
        <v>0</v>
      </c>
      <c r="Z72" s="94">
        <f t="shared" si="128"/>
        <v>0.33333333333333331</v>
      </c>
      <c r="AA72" s="95">
        <f>(O72)+(0.4*I72)-(0.7*J72)-(0.4*(L72-K72))+(0.7*M72)+(0.3*N72)+S72+(0.7*Q72)+(0.7*R72)-(0.4*U72)-T72</f>
        <v>5.3</v>
      </c>
      <c r="AB72" s="46" t="str">
        <f t="shared" ref="AB72:AB77" si="130">AB71</f>
        <v>PRE</v>
      </c>
    </row>
    <row r="73" spans="1:540" ht="39.950000000000003" customHeight="1" x14ac:dyDescent="0.5">
      <c r="A73" s="44" t="str">
        <f t="shared" si="129"/>
        <v>Goon Squad</v>
      </c>
      <c r="B73" s="44">
        <f t="shared" si="129"/>
        <v>2</v>
      </c>
      <c r="C73" s="44">
        <f t="shared" si="129"/>
        <v>-3</v>
      </c>
      <c r="D73" s="86" t="s">
        <v>30</v>
      </c>
      <c r="E73" s="96">
        <v>10</v>
      </c>
      <c r="F73" s="96">
        <v>15</v>
      </c>
      <c r="G73" s="96">
        <v>2</v>
      </c>
      <c r="H73" s="96">
        <v>6</v>
      </c>
      <c r="I73" s="96">
        <f t="shared" si="122"/>
        <v>12</v>
      </c>
      <c r="J73" s="96">
        <f t="shared" si="122"/>
        <v>21</v>
      </c>
      <c r="K73" s="96">
        <v>2</v>
      </c>
      <c r="L73" s="96">
        <v>2</v>
      </c>
      <c r="M73" s="96">
        <v>5</v>
      </c>
      <c r="N73" s="96">
        <v>2</v>
      </c>
      <c r="O73" s="96">
        <f t="shared" si="123"/>
        <v>28</v>
      </c>
      <c r="P73" s="96">
        <f t="shared" si="124"/>
        <v>7</v>
      </c>
      <c r="Q73" s="96">
        <v>3</v>
      </c>
      <c r="R73" s="96">
        <v>0</v>
      </c>
      <c r="S73" s="96">
        <v>6</v>
      </c>
      <c r="T73" s="96">
        <v>0</v>
      </c>
      <c r="U73" s="96">
        <v>2</v>
      </c>
      <c r="V73" s="97">
        <f t="shared" si="125"/>
        <v>0.5714285714285714</v>
      </c>
      <c r="W73" s="97">
        <f t="shared" si="105"/>
        <v>0.63985374771480807</v>
      </c>
      <c r="X73" s="97">
        <f t="shared" si="126"/>
        <v>1</v>
      </c>
      <c r="Y73" s="97">
        <f t="shared" si="127"/>
        <v>0.66666666666666663</v>
      </c>
      <c r="Z73" s="97">
        <f t="shared" si="128"/>
        <v>0.33333333333333331</v>
      </c>
      <c r="AA73" s="98">
        <f>(O73)+(0.4*I73)-(0.7*J73)-(0.4*(L73-K73))+(0.7*M73)+(0.3*N73)+S73+(0.7*Q73)+(0.7*R73)-(0.4*U73)-T73</f>
        <v>29.499999999999996</v>
      </c>
      <c r="AB73" s="46" t="str">
        <f t="shared" si="130"/>
        <v>PRE</v>
      </c>
    </row>
    <row r="74" spans="1:540" ht="39.950000000000003" customHeight="1" x14ac:dyDescent="0.5">
      <c r="A74" s="44" t="str">
        <f t="shared" si="129"/>
        <v>Goon Squad</v>
      </c>
      <c r="B74" s="44">
        <f t="shared" si="129"/>
        <v>2</v>
      </c>
      <c r="C74" s="44">
        <f t="shared" si="129"/>
        <v>-3</v>
      </c>
      <c r="D74" s="86" t="s">
        <v>45</v>
      </c>
      <c r="E74" s="99">
        <v>7</v>
      </c>
      <c r="F74" s="99">
        <v>10</v>
      </c>
      <c r="G74" s="99">
        <v>0</v>
      </c>
      <c r="H74" s="99">
        <v>5</v>
      </c>
      <c r="I74" s="99">
        <f t="shared" si="122"/>
        <v>7</v>
      </c>
      <c r="J74" s="99">
        <f t="shared" si="122"/>
        <v>15</v>
      </c>
      <c r="K74" s="99">
        <v>1</v>
      </c>
      <c r="L74" s="99">
        <v>4</v>
      </c>
      <c r="M74" s="99">
        <v>2</v>
      </c>
      <c r="N74" s="99">
        <v>6</v>
      </c>
      <c r="O74" s="99">
        <f t="shared" si="123"/>
        <v>15</v>
      </c>
      <c r="P74" s="99">
        <f t="shared" si="124"/>
        <v>8</v>
      </c>
      <c r="Q74" s="99">
        <v>5</v>
      </c>
      <c r="R74" s="99">
        <v>2</v>
      </c>
      <c r="S74" s="99">
        <v>2</v>
      </c>
      <c r="T74" s="99">
        <v>2</v>
      </c>
      <c r="U74" s="99">
        <v>2</v>
      </c>
      <c r="V74" s="100">
        <f t="shared" si="125"/>
        <v>0.46666666666666667</v>
      </c>
      <c r="W74" s="100">
        <f t="shared" si="105"/>
        <v>0.44749403341288779</v>
      </c>
      <c r="X74" s="100">
        <f t="shared" si="126"/>
        <v>0.25</v>
      </c>
      <c r="Y74" s="100">
        <f t="shared" si="127"/>
        <v>0.7</v>
      </c>
      <c r="Z74" s="100">
        <f t="shared" si="128"/>
        <v>0</v>
      </c>
      <c r="AA74" s="101">
        <f>(O74)+(0.4*I74)-(0.7*J74)-(0.4*(L74-K74))+(0.7*M74)+(0.3*N74)+S74+(0.7*Q74)+(0.7*R74)-(0.4*U74)-T74</f>
        <v>13.399999999999999</v>
      </c>
      <c r="AB74" s="46" t="str">
        <f t="shared" si="130"/>
        <v>PRE</v>
      </c>
    </row>
    <row r="75" spans="1:540" ht="39.950000000000003" customHeight="1" x14ac:dyDescent="0.5">
      <c r="A75" s="44" t="str">
        <f t="shared" ref="A75:C76" si="131">A73</f>
        <v>Goon Squad</v>
      </c>
      <c r="B75" s="44">
        <f t="shared" si="131"/>
        <v>2</v>
      </c>
      <c r="C75" s="44">
        <f t="shared" si="131"/>
        <v>-3</v>
      </c>
      <c r="D75" s="86" t="s">
        <v>51</v>
      </c>
      <c r="E75" s="102">
        <v>6</v>
      </c>
      <c r="F75" s="102">
        <v>10</v>
      </c>
      <c r="G75" s="102">
        <v>1</v>
      </c>
      <c r="H75" s="102">
        <v>3</v>
      </c>
      <c r="I75" s="102">
        <f t="shared" si="122"/>
        <v>7</v>
      </c>
      <c r="J75" s="102">
        <f t="shared" si="122"/>
        <v>13</v>
      </c>
      <c r="K75" s="102">
        <v>0</v>
      </c>
      <c r="L75" s="102">
        <v>0</v>
      </c>
      <c r="M75" s="102">
        <v>1</v>
      </c>
      <c r="N75" s="102">
        <v>4</v>
      </c>
      <c r="O75" s="102">
        <f t="shared" si="123"/>
        <v>15</v>
      </c>
      <c r="P75" s="102">
        <f t="shared" si="124"/>
        <v>5</v>
      </c>
      <c r="Q75" s="102">
        <v>0</v>
      </c>
      <c r="R75" s="102">
        <v>1</v>
      </c>
      <c r="S75" s="102">
        <v>0</v>
      </c>
      <c r="T75" s="102">
        <v>1</v>
      </c>
      <c r="U75" s="102">
        <v>2</v>
      </c>
      <c r="V75" s="103">
        <f t="shared" si="125"/>
        <v>0.53846153846153844</v>
      </c>
      <c r="W75" s="103">
        <f t="shared" si="105"/>
        <v>0.57692307692307687</v>
      </c>
      <c r="X75" s="103">
        <f t="shared" si="126"/>
        <v>0</v>
      </c>
      <c r="Y75" s="103">
        <f t="shared" si="127"/>
        <v>0.6</v>
      </c>
      <c r="Z75" s="103">
        <f t="shared" si="128"/>
        <v>0.33333333333333331</v>
      </c>
      <c r="AA75" s="104">
        <f>(O75)+(0.4*I75)-(0.7*J75)-(0.4*(L75-K75))+(0.7*M75)+(0.3*N75)+S75+(0.7*Q75)+(0.7*R75)-(0.4*U75)-T75</f>
        <v>9.4999999999999982</v>
      </c>
      <c r="AB75" s="46" t="str">
        <f>AB74</f>
        <v>PRE</v>
      </c>
    </row>
    <row r="76" spans="1:540" ht="39.950000000000003" customHeight="1" x14ac:dyDescent="0.5">
      <c r="A76" s="44" t="str">
        <f t="shared" si="131"/>
        <v>Goon Squad</v>
      </c>
      <c r="B76" s="44">
        <f t="shared" si="131"/>
        <v>2</v>
      </c>
      <c r="C76" s="44">
        <f t="shared" si="131"/>
        <v>-3</v>
      </c>
      <c r="D76" s="86" t="s">
        <v>32</v>
      </c>
      <c r="E76" s="105">
        <f>SUM(E70:E75)</f>
        <v>29</v>
      </c>
      <c r="F76" s="105">
        <f t="shared" ref="F76:U76" si="132">SUM(F70:F75)</f>
        <v>45</v>
      </c>
      <c r="G76" s="105">
        <f t="shared" si="132"/>
        <v>5</v>
      </c>
      <c r="H76" s="105">
        <f t="shared" si="132"/>
        <v>24</v>
      </c>
      <c r="I76" s="105">
        <f t="shared" si="132"/>
        <v>34</v>
      </c>
      <c r="J76" s="105">
        <f t="shared" si="132"/>
        <v>69</v>
      </c>
      <c r="K76" s="105">
        <f t="shared" si="132"/>
        <v>5</v>
      </c>
      <c r="L76" s="105">
        <f t="shared" si="132"/>
        <v>9</v>
      </c>
      <c r="M76" s="105">
        <f t="shared" si="132"/>
        <v>10</v>
      </c>
      <c r="N76" s="105">
        <f t="shared" si="132"/>
        <v>18</v>
      </c>
      <c r="O76" s="105">
        <f>SUM(O71:O75)</f>
        <v>78</v>
      </c>
      <c r="P76" s="105">
        <f t="shared" si="132"/>
        <v>28</v>
      </c>
      <c r="Q76" s="105">
        <f t="shared" si="132"/>
        <v>16</v>
      </c>
      <c r="R76" s="105">
        <f t="shared" si="132"/>
        <v>5</v>
      </c>
      <c r="S76" s="105">
        <f t="shared" si="132"/>
        <v>12</v>
      </c>
      <c r="T76" s="105">
        <f t="shared" si="132"/>
        <v>6</v>
      </c>
      <c r="U76" s="105">
        <f t="shared" si="132"/>
        <v>9</v>
      </c>
      <c r="V76" s="106">
        <f t="shared" si="125"/>
        <v>0.49275362318840582</v>
      </c>
      <c r="W76" s="106">
        <f t="shared" si="105"/>
        <v>0.53453947368421062</v>
      </c>
      <c r="X76" s="106">
        <f t="shared" si="126"/>
        <v>0.55555555555555558</v>
      </c>
      <c r="Y76" s="106">
        <f t="shared" si="127"/>
        <v>0.64444444444444449</v>
      </c>
      <c r="Z76" s="106">
        <f t="shared" si="128"/>
        <v>0.20833333333333334</v>
      </c>
      <c r="AA76" s="107">
        <f>AVERAGE(AA70:AA75)</f>
        <v>14.239999999999998</v>
      </c>
      <c r="AB76" s="46" t="str">
        <f>AB75</f>
        <v>PRE</v>
      </c>
    </row>
    <row r="77" spans="1:540" s="42" customFormat="1" ht="39.950000000000003" customHeight="1" x14ac:dyDescent="0.5">
      <c r="A77" s="44" t="s">
        <v>33</v>
      </c>
      <c r="B77" s="44">
        <f t="shared" ref="B77:C77" si="133">B76</f>
        <v>2</v>
      </c>
      <c r="C77" s="44">
        <f t="shared" si="133"/>
        <v>-3</v>
      </c>
      <c r="D77" s="44" t="s">
        <v>52</v>
      </c>
      <c r="E77" s="83"/>
      <c r="F77" s="83"/>
      <c r="G77" s="83"/>
      <c r="H77" s="83"/>
      <c r="I77" s="83"/>
      <c r="J77" s="83"/>
      <c r="K77" s="83"/>
      <c r="L77" s="83"/>
      <c r="M77" s="83"/>
      <c r="N77" s="83"/>
      <c r="O77" s="83">
        <v>54</v>
      </c>
      <c r="P77" s="83"/>
      <c r="Q77" s="83"/>
      <c r="R77" s="83"/>
      <c r="S77" s="83"/>
      <c r="T77" s="83"/>
      <c r="U77" s="83"/>
      <c r="V77" s="83"/>
      <c r="W77" s="83"/>
      <c r="X77" s="83"/>
      <c r="Y77" s="83"/>
      <c r="Z77" s="83"/>
      <c r="AA77" s="83"/>
      <c r="AB77" s="46" t="str">
        <f t="shared" si="130"/>
        <v>PRE</v>
      </c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26"/>
      <c r="JZ77" s="24"/>
      <c r="KA77" s="24"/>
      <c r="KB77" s="24"/>
      <c r="KC77" s="24"/>
      <c r="KD77" s="24"/>
      <c r="KE77" s="24"/>
      <c r="KF77" s="24"/>
      <c r="KG77" s="24"/>
      <c r="KH77" s="24"/>
      <c r="KI77" s="24"/>
      <c r="KJ77" s="24"/>
      <c r="KK77" s="24"/>
      <c r="KL77" s="24"/>
      <c r="KM77" s="24"/>
      <c r="KN77" s="24"/>
      <c r="KO77" s="24"/>
      <c r="KP77" s="24"/>
      <c r="KQ77" s="22"/>
      <c r="KR77" s="22"/>
      <c r="KS77" s="22"/>
      <c r="KT77" s="22"/>
      <c r="KU77" s="23"/>
      <c r="KV77" s="26"/>
      <c r="KW77" s="24"/>
      <c r="KX77" s="24"/>
      <c r="KY77" s="24"/>
      <c r="KZ77" s="24"/>
      <c r="LA77" s="24"/>
      <c r="LB77" s="24"/>
      <c r="LC77" s="24"/>
      <c r="LD77" s="24"/>
      <c r="LE77" s="24"/>
      <c r="LF77" s="24"/>
      <c r="LG77" s="24"/>
      <c r="LH77" s="24"/>
      <c r="LI77" s="24"/>
      <c r="LJ77" s="24"/>
      <c r="LK77" s="24"/>
      <c r="LL77" s="24"/>
      <c r="LM77" s="24"/>
      <c r="LN77" s="22"/>
      <c r="LO77" s="22"/>
      <c r="LP77" s="22"/>
      <c r="LQ77" s="22"/>
      <c r="LR77" s="23"/>
      <c r="LS77" s="26"/>
      <c r="LT77" s="24"/>
      <c r="LU77" s="24"/>
      <c r="LV77" s="24"/>
      <c r="LW77" s="24"/>
      <c r="LX77" s="24"/>
      <c r="LY77" s="24"/>
      <c r="LZ77" s="24"/>
      <c r="MA77" s="24"/>
      <c r="MB77" s="24"/>
      <c r="MC77" s="24"/>
      <c r="MD77" s="24"/>
      <c r="ME77" s="24"/>
      <c r="MF77" s="24"/>
      <c r="MG77" s="24"/>
      <c r="MH77" s="24"/>
      <c r="MI77" s="24"/>
      <c r="MJ77" s="24"/>
      <c r="MK77" s="22"/>
      <c r="ML77" s="22"/>
      <c r="MM77" s="22"/>
      <c r="MN77" s="22"/>
      <c r="MO77" s="23"/>
      <c r="MP77" s="26"/>
      <c r="MQ77" s="24"/>
      <c r="MR77" s="24"/>
      <c r="MS77" s="24"/>
      <c r="MT77" s="24"/>
      <c r="MU77" s="24"/>
      <c r="MV77" s="24"/>
      <c r="MW77" s="24"/>
      <c r="MX77" s="24"/>
      <c r="MY77" s="24"/>
      <c r="MZ77" s="24"/>
      <c r="NA77" s="24"/>
      <c r="NB77" s="24"/>
      <c r="NC77" s="24"/>
      <c r="ND77" s="24"/>
      <c r="NE77" s="24"/>
      <c r="NF77" s="24"/>
      <c r="NG77" s="24"/>
      <c r="NH77" s="22"/>
      <c r="NI77" s="22"/>
      <c r="NJ77" s="22"/>
      <c r="NK77" s="22"/>
      <c r="NL77" s="23"/>
      <c r="NM77" s="26"/>
      <c r="NN77" s="24"/>
      <c r="NO77" s="24"/>
      <c r="NP77" s="24"/>
      <c r="NQ77" s="24"/>
      <c r="NR77" s="24"/>
      <c r="NS77" s="24"/>
      <c r="NT77" s="24"/>
      <c r="NU77" s="24"/>
      <c r="NV77" s="24"/>
      <c r="NW77" s="24"/>
      <c r="NX77" s="24"/>
      <c r="NY77" s="24"/>
      <c r="NZ77" s="24"/>
      <c r="OA77" s="24"/>
      <c r="OB77" s="24"/>
      <c r="OC77" s="24"/>
      <c r="OD77" s="24"/>
      <c r="OE77" s="22"/>
      <c r="OF77" s="22"/>
      <c r="OG77" s="22"/>
      <c r="OH77" s="22"/>
      <c r="OI77" s="23"/>
      <c r="OJ77" s="26"/>
      <c r="OK77" s="24"/>
      <c r="OL77" s="24"/>
      <c r="OM77" s="24"/>
      <c r="ON77" s="24"/>
      <c r="OO77" s="24"/>
      <c r="OP77" s="24"/>
      <c r="OQ77" s="24"/>
      <c r="OR77" s="24"/>
      <c r="OS77" s="24"/>
      <c r="OT77" s="24"/>
      <c r="OU77" s="24"/>
      <c r="OV77" s="24"/>
      <c r="OW77" s="24"/>
      <c r="OX77" s="24"/>
      <c r="OY77" s="24"/>
      <c r="OZ77" s="24"/>
      <c r="PA77" s="24"/>
      <c r="PB77" s="22"/>
      <c r="PC77" s="22"/>
      <c r="PD77" s="22"/>
      <c r="PE77" s="22"/>
      <c r="PF77" s="23"/>
      <c r="PG77" s="26"/>
      <c r="PH77" s="24"/>
      <c r="PI77" s="24"/>
      <c r="PJ77" s="24"/>
      <c r="PK77" s="24"/>
      <c r="PL77" s="24"/>
      <c r="PM77" s="24"/>
      <c r="PN77" s="24"/>
      <c r="PO77" s="24"/>
      <c r="PP77" s="24"/>
      <c r="PQ77" s="24"/>
      <c r="PR77" s="24"/>
      <c r="PS77" s="24"/>
      <c r="PT77" s="24"/>
      <c r="PU77" s="24"/>
      <c r="PV77" s="24"/>
      <c r="PW77" s="24"/>
      <c r="PX77" s="24"/>
      <c r="PY77" s="22"/>
      <c r="PZ77" s="22"/>
      <c r="QA77" s="22"/>
      <c r="QB77" s="22"/>
      <c r="QC77" s="23"/>
      <c r="QD77" s="26"/>
      <c r="QE77" s="24"/>
      <c r="QF77" s="24"/>
      <c r="QG77" s="24"/>
      <c r="QH77" s="24"/>
      <c r="QI77" s="24"/>
      <c r="QJ77" s="24"/>
      <c r="QK77" s="24"/>
      <c r="QL77" s="24"/>
      <c r="QM77" s="24"/>
      <c r="QN77" s="24"/>
      <c r="QO77" s="24"/>
      <c r="QP77" s="24"/>
      <c r="QQ77" s="24"/>
      <c r="QR77" s="24"/>
      <c r="QS77" s="24"/>
      <c r="QT77" s="24"/>
      <c r="QU77" s="24"/>
      <c r="QV77" s="22"/>
      <c r="QW77" s="22"/>
      <c r="QX77" s="22"/>
      <c r="QY77" s="22"/>
      <c r="QZ77" s="23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</row>
    <row r="78" spans="1:540" ht="39.950000000000003" customHeight="1" x14ac:dyDescent="0.5">
      <c r="A78" s="44" t="str">
        <f>D86</f>
        <v>Dirty Magic</v>
      </c>
      <c r="B78" s="44">
        <v>2</v>
      </c>
      <c r="C78" s="44">
        <v>-2</v>
      </c>
      <c r="D78" s="86" t="s">
        <v>36</v>
      </c>
      <c r="E78" s="87">
        <v>6</v>
      </c>
      <c r="F78" s="87">
        <v>7</v>
      </c>
      <c r="G78" s="87">
        <v>0</v>
      </c>
      <c r="H78" s="87">
        <v>0</v>
      </c>
      <c r="I78" s="87">
        <f>E78+G78</f>
        <v>6</v>
      </c>
      <c r="J78" s="87">
        <f>F78+H78</f>
        <v>7</v>
      </c>
      <c r="K78" s="87">
        <v>2</v>
      </c>
      <c r="L78" s="87">
        <v>4</v>
      </c>
      <c r="M78" s="87">
        <v>2</v>
      </c>
      <c r="N78" s="87">
        <v>8</v>
      </c>
      <c r="O78" s="87">
        <f>E78*2+G78*3+K78</f>
        <v>14</v>
      </c>
      <c r="P78" s="87">
        <f>M78+N78</f>
        <v>10</v>
      </c>
      <c r="Q78" s="87">
        <v>4</v>
      </c>
      <c r="R78" s="87">
        <v>0</v>
      </c>
      <c r="S78" s="87">
        <v>0</v>
      </c>
      <c r="T78" s="87">
        <v>2</v>
      </c>
      <c r="U78" s="87">
        <v>1</v>
      </c>
      <c r="V78" s="88">
        <f t="shared" ref="V78:V85" si="134">IFERROR(I78/J78,0)</f>
        <v>0.8571428571428571</v>
      </c>
      <c r="W78" s="88">
        <f>IFERROR(O78/(2*(J78+0.44*L78)), 0)</f>
        <v>0.79908675799086759</v>
      </c>
      <c r="X78" s="88">
        <f t="shared" ref="X78:X85" si="135">IFERROR(K78/L78,0)</f>
        <v>0.5</v>
      </c>
      <c r="Y78" s="88">
        <f t="shared" ref="Y78:Y85" si="136">IFERROR(E78/F78,0)</f>
        <v>0.8571428571428571</v>
      </c>
      <c r="Z78" s="88">
        <f t="shared" ref="Z78:Z85" si="137">IFERROR(G78/H78,0)</f>
        <v>0</v>
      </c>
      <c r="AA78" s="89">
        <f t="shared" ref="AA78:AA84" si="138">(O78)+(0.4*I78)-(0.7*J78)-(0.4*(L78-K78))+(0.7*M78)+(0.3*N78)+S78+(0.7*Q78)+(0.7*R78)-(0.4*U78)-T78</f>
        <v>14.900000000000002</v>
      </c>
      <c r="AB78" s="167" t="s">
        <v>31</v>
      </c>
    </row>
    <row r="79" spans="1:540" ht="39.950000000000003" customHeight="1" x14ac:dyDescent="0.5">
      <c r="A79" s="44" t="str">
        <f>A78</f>
        <v>Dirty Magic</v>
      </c>
      <c r="B79" s="44">
        <f>B78</f>
        <v>2</v>
      </c>
      <c r="C79" s="44">
        <f>C78</f>
        <v>-2</v>
      </c>
      <c r="D79" s="86" t="s">
        <v>28</v>
      </c>
      <c r="E79" s="90">
        <v>1</v>
      </c>
      <c r="F79" s="90">
        <v>3</v>
      </c>
      <c r="G79" s="90">
        <v>3</v>
      </c>
      <c r="H79" s="90">
        <v>7</v>
      </c>
      <c r="I79" s="90">
        <f t="shared" ref="I79:J84" si="139">E79+G79</f>
        <v>4</v>
      </c>
      <c r="J79" s="90">
        <f t="shared" si="139"/>
        <v>10</v>
      </c>
      <c r="K79" s="90">
        <v>0</v>
      </c>
      <c r="L79" s="90">
        <v>0</v>
      </c>
      <c r="M79" s="90">
        <v>1</v>
      </c>
      <c r="N79" s="90">
        <v>1</v>
      </c>
      <c r="O79" s="90">
        <f t="shared" ref="O79:O84" si="140">E79*2+G79*3+K79</f>
        <v>11</v>
      </c>
      <c r="P79" s="90">
        <f t="shared" ref="P79:P84" si="141">M79+N79</f>
        <v>2</v>
      </c>
      <c r="Q79" s="90">
        <v>2</v>
      </c>
      <c r="R79" s="90">
        <v>1</v>
      </c>
      <c r="S79" s="90">
        <v>0</v>
      </c>
      <c r="T79" s="90">
        <v>1</v>
      </c>
      <c r="U79" s="90">
        <v>0</v>
      </c>
      <c r="V79" s="91">
        <f t="shared" si="134"/>
        <v>0.4</v>
      </c>
      <c r="W79" s="91">
        <f t="shared" ref="W79:W85" si="142">IFERROR(O79/(2*(J79+0.44*L79)), 0)</f>
        <v>0.55000000000000004</v>
      </c>
      <c r="X79" s="91">
        <f t="shared" si="135"/>
        <v>0</v>
      </c>
      <c r="Y79" s="91">
        <f t="shared" si="136"/>
        <v>0.33333333333333331</v>
      </c>
      <c r="Z79" s="91">
        <f t="shared" si="137"/>
        <v>0.42857142857142855</v>
      </c>
      <c r="AA79" s="92">
        <f t="shared" si="138"/>
        <v>7.6999999999999993</v>
      </c>
      <c r="AB79" s="46" t="str">
        <f>AB78</f>
        <v>PRE</v>
      </c>
    </row>
    <row r="80" spans="1:540" ht="39.950000000000003" customHeight="1" x14ac:dyDescent="0.5">
      <c r="A80" s="44" t="str">
        <f t="shared" ref="A80:C82" si="143">A79</f>
        <v>Dirty Magic</v>
      </c>
      <c r="B80" s="44">
        <f t="shared" si="143"/>
        <v>2</v>
      </c>
      <c r="C80" s="44">
        <f t="shared" si="143"/>
        <v>-2</v>
      </c>
      <c r="D80" s="86" t="s">
        <v>29</v>
      </c>
      <c r="E80" s="93">
        <v>0</v>
      </c>
      <c r="F80" s="93">
        <v>0</v>
      </c>
      <c r="G80" s="93">
        <v>0</v>
      </c>
      <c r="H80" s="93">
        <v>1</v>
      </c>
      <c r="I80" s="93">
        <f t="shared" si="139"/>
        <v>0</v>
      </c>
      <c r="J80" s="93">
        <f t="shared" si="139"/>
        <v>1</v>
      </c>
      <c r="K80" s="93">
        <v>0</v>
      </c>
      <c r="L80" s="93">
        <v>0</v>
      </c>
      <c r="M80" s="93">
        <v>2</v>
      </c>
      <c r="N80" s="93">
        <v>0</v>
      </c>
      <c r="O80" s="93">
        <f t="shared" si="140"/>
        <v>0</v>
      </c>
      <c r="P80" s="93">
        <f t="shared" si="141"/>
        <v>2</v>
      </c>
      <c r="Q80" s="93">
        <v>1</v>
      </c>
      <c r="R80" s="93">
        <v>0</v>
      </c>
      <c r="S80" s="93">
        <v>0</v>
      </c>
      <c r="T80" s="93">
        <v>0</v>
      </c>
      <c r="U80" s="93">
        <v>3</v>
      </c>
      <c r="V80" s="94">
        <f t="shared" si="134"/>
        <v>0</v>
      </c>
      <c r="W80" s="94">
        <f t="shared" si="142"/>
        <v>0</v>
      </c>
      <c r="X80" s="94">
        <f t="shared" si="135"/>
        <v>0</v>
      </c>
      <c r="Y80" s="94">
        <f t="shared" si="136"/>
        <v>0</v>
      </c>
      <c r="Z80" s="94">
        <f t="shared" si="137"/>
        <v>0</v>
      </c>
      <c r="AA80" s="95">
        <f t="shared" si="138"/>
        <v>0.19999999999999973</v>
      </c>
      <c r="AB80" s="46" t="str">
        <f t="shared" ref="AB80:AB86" si="144">AB79</f>
        <v>PRE</v>
      </c>
    </row>
    <row r="81" spans="1:540" ht="39.950000000000003" customHeight="1" x14ac:dyDescent="0.5">
      <c r="A81" s="44" t="str">
        <f t="shared" si="143"/>
        <v>Dirty Magic</v>
      </c>
      <c r="B81" s="44">
        <f t="shared" si="143"/>
        <v>2</v>
      </c>
      <c r="C81" s="44">
        <f t="shared" si="143"/>
        <v>-2</v>
      </c>
      <c r="D81" s="86" t="s">
        <v>30</v>
      </c>
      <c r="E81" s="96">
        <v>11</v>
      </c>
      <c r="F81" s="96">
        <v>13</v>
      </c>
      <c r="G81" s="96">
        <v>0</v>
      </c>
      <c r="H81" s="96">
        <v>3</v>
      </c>
      <c r="I81" s="96">
        <f t="shared" si="139"/>
        <v>11</v>
      </c>
      <c r="J81" s="96">
        <f t="shared" si="139"/>
        <v>16</v>
      </c>
      <c r="K81" s="96">
        <v>4</v>
      </c>
      <c r="L81" s="96">
        <v>6</v>
      </c>
      <c r="M81" s="96">
        <v>1</v>
      </c>
      <c r="N81" s="96">
        <v>5</v>
      </c>
      <c r="O81" s="96">
        <f t="shared" si="140"/>
        <v>26</v>
      </c>
      <c r="P81" s="96">
        <f t="shared" si="141"/>
        <v>6</v>
      </c>
      <c r="Q81" s="96">
        <v>5</v>
      </c>
      <c r="R81" s="96">
        <v>0</v>
      </c>
      <c r="S81" s="96">
        <v>3</v>
      </c>
      <c r="T81" s="96">
        <v>1</v>
      </c>
      <c r="U81" s="96">
        <v>2</v>
      </c>
      <c r="V81" s="97">
        <f t="shared" si="134"/>
        <v>0.6875</v>
      </c>
      <c r="W81" s="97">
        <f t="shared" si="142"/>
        <v>0.69742489270386265</v>
      </c>
      <c r="X81" s="97">
        <f t="shared" si="135"/>
        <v>0.66666666666666663</v>
      </c>
      <c r="Y81" s="97">
        <f t="shared" si="136"/>
        <v>0.84615384615384615</v>
      </c>
      <c r="Z81" s="97">
        <f t="shared" si="137"/>
        <v>0</v>
      </c>
      <c r="AA81" s="98">
        <f t="shared" si="138"/>
        <v>25.299999999999997</v>
      </c>
      <c r="AB81" s="46" t="str">
        <f t="shared" si="144"/>
        <v>PRE</v>
      </c>
    </row>
    <row r="82" spans="1:540" ht="39.950000000000003" customHeight="1" x14ac:dyDescent="0.5">
      <c r="A82" s="44" t="str">
        <f t="shared" si="143"/>
        <v>Dirty Magic</v>
      </c>
      <c r="B82" s="44">
        <f t="shared" si="143"/>
        <v>2</v>
      </c>
      <c r="C82" s="44">
        <f t="shared" si="143"/>
        <v>-2</v>
      </c>
      <c r="D82" s="86" t="s">
        <v>45</v>
      </c>
      <c r="E82" s="99">
        <v>3</v>
      </c>
      <c r="F82" s="99">
        <v>10</v>
      </c>
      <c r="G82" s="99">
        <v>1</v>
      </c>
      <c r="H82" s="99">
        <v>2</v>
      </c>
      <c r="I82" s="99">
        <f t="shared" si="139"/>
        <v>4</v>
      </c>
      <c r="J82" s="99">
        <f t="shared" si="139"/>
        <v>12</v>
      </c>
      <c r="K82" s="99">
        <v>1</v>
      </c>
      <c r="L82" s="99">
        <v>1</v>
      </c>
      <c r="M82" s="99">
        <v>2</v>
      </c>
      <c r="N82" s="99">
        <v>8</v>
      </c>
      <c r="O82" s="99">
        <f t="shared" si="140"/>
        <v>10</v>
      </c>
      <c r="P82" s="99">
        <f t="shared" si="141"/>
        <v>10</v>
      </c>
      <c r="Q82" s="99">
        <v>9</v>
      </c>
      <c r="R82" s="99">
        <v>2</v>
      </c>
      <c r="S82" s="99">
        <v>1</v>
      </c>
      <c r="T82" s="99">
        <v>2</v>
      </c>
      <c r="U82" s="99">
        <v>0</v>
      </c>
      <c r="V82" s="100">
        <f t="shared" si="134"/>
        <v>0.33333333333333331</v>
      </c>
      <c r="W82" s="100">
        <f t="shared" si="142"/>
        <v>0.40192926045016081</v>
      </c>
      <c r="X82" s="100">
        <f t="shared" si="135"/>
        <v>1</v>
      </c>
      <c r="Y82" s="100">
        <f t="shared" si="136"/>
        <v>0.3</v>
      </c>
      <c r="Z82" s="100">
        <f t="shared" si="137"/>
        <v>0.5</v>
      </c>
      <c r="AA82" s="101">
        <f t="shared" si="138"/>
        <v>13.700000000000001</v>
      </c>
      <c r="AB82" s="46" t="str">
        <f t="shared" si="144"/>
        <v>PRE</v>
      </c>
    </row>
    <row r="83" spans="1:540" ht="39.950000000000003" customHeight="1" x14ac:dyDescent="0.5">
      <c r="A83" s="44" t="str">
        <f t="shared" ref="A83:C83" si="145">A81</f>
        <v>Dirty Magic</v>
      </c>
      <c r="B83" s="44">
        <f t="shared" si="145"/>
        <v>2</v>
      </c>
      <c r="C83" s="44">
        <f t="shared" si="145"/>
        <v>-2</v>
      </c>
      <c r="D83" s="86" t="s">
        <v>51</v>
      </c>
      <c r="E83" s="102">
        <v>8</v>
      </c>
      <c r="F83" s="102">
        <v>9</v>
      </c>
      <c r="G83" s="102">
        <v>0</v>
      </c>
      <c r="H83" s="102">
        <v>4</v>
      </c>
      <c r="I83" s="102">
        <f t="shared" si="139"/>
        <v>8</v>
      </c>
      <c r="J83" s="102">
        <f t="shared" si="139"/>
        <v>13</v>
      </c>
      <c r="K83" s="102">
        <v>1</v>
      </c>
      <c r="L83" s="102">
        <v>2</v>
      </c>
      <c r="M83" s="102">
        <v>0</v>
      </c>
      <c r="N83" s="102">
        <v>4</v>
      </c>
      <c r="O83" s="102">
        <f t="shared" si="140"/>
        <v>17</v>
      </c>
      <c r="P83" s="102">
        <f t="shared" si="141"/>
        <v>4</v>
      </c>
      <c r="Q83" s="102">
        <v>2</v>
      </c>
      <c r="R83" s="102">
        <v>1</v>
      </c>
      <c r="S83" s="102">
        <v>0</v>
      </c>
      <c r="T83" s="102">
        <v>0</v>
      </c>
      <c r="U83" s="102">
        <v>0</v>
      </c>
      <c r="V83" s="103">
        <f t="shared" si="134"/>
        <v>0.61538461538461542</v>
      </c>
      <c r="W83" s="103">
        <f t="shared" si="142"/>
        <v>0.61239193083573484</v>
      </c>
      <c r="X83" s="103">
        <f t="shared" si="135"/>
        <v>0.5</v>
      </c>
      <c r="Y83" s="103">
        <f t="shared" si="136"/>
        <v>0.88888888888888884</v>
      </c>
      <c r="Z83" s="103">
        <f t="shared" si="137"/>
        <v>0</v>
      </c>
      <c r="AA83" s="104">
        <f t="shared" si="138"/>
        <v>13.999999999999998</v>
      </c>
      <c r="AB83" s="46" t="str">
        <f>AB82</f>
        <v>PRE</v>
      </c>
    </row>
    <row r="84" spans="1:540" s="42" customFormat="1" ht="39.950000000000003" customHeight="1" x14ac:dyDescent="0.5">
      <c r="A84" s="44" t="str">
        <f>A83</f>
        <v>Dirty Magic</v>
      </c>
      <c r="B84" s="44">
        <f>B83</f>
        <v>2</v>
      </c>
      <c r="C84" s="44">
        <f>C83</f>
        <v>-2</v>
      </c>
      <c r="D84" s="86" t="s">
        <v>41</v>
      </c>
      <c r="E84" s="160">
        <v>0</v>
      </c>
      <c r="F84" s="160">
        <v>0</v>
      </c>
      <c r="G84" s="160">
        <v>0</v>
      </c>
      <c r="H84" s="160">
        <v>2</v>
      </c>
      <c r="I84" s="160">
        <f t="shared" si="139"/>
        <v>0</v>
      </c>
      <c r="J84" s="160">
        <f t="shared" si="139"/>
        <v>2</v>
      </c>
      <c r="K84" s="160">
        <v>0</v>
      </c>
      <c r="L84" s="160">
        <v>0</v>
      </c>
      <c r="M84" s="160">
        <v>0</v>
      </c>
      <c r="N84" s="160">
        <v>1</v>
      </c>
      <c r="O84" s="160">
        <f t="shared" si="140"/>
        <v>0</v>
      </c>
      <c r="P84" s="160">
        <f t="shared" si="141"/>
        <v>1</v>
      </c>
      <c r="Q84" s="160">
        <v>0</v>
      </c>
      <c r="R84" s="160">
        <v>0</v>
      </c>
      <c r="S84" s="160">
        <v>0</v>
      </c>
      <c r="T84" s="160">
        <v>1</v>
      </c>
      <c r="U84" s="160">
        <v>0</v>
      </c>
      <c r="V84" s="161">
        <f t="shared" si="134"/>
        <v>0</v>
      </c>
      <c r="W84" s="161">
        <f t="shared" si="142"/>
        <v>0</v>
      </c>
      <c r="X84" s="161">
        <f t="shared" si="135"/>
        <v>0</v>
      </c>
      <c r="Y84" s="161">
        <f t="shared" si="136"/>
        <v>0</v>
      </c>
      <c r="Z84" s="161">
        <f t="shared" si="137"/>
        <v>0</v>
      </c>
      <c r="AA84" s="162">
        <f t="shared" si="138"/>
        <v>-2.0999999999999996</v>
      </c>
      <c r="AB84" s="46" t="str">
        <f>AB83</f>
        <v>PRE</v>
      </c>
      <c r="AC84" s="45"/>
      <c r="AD84" s="45"/>
      <c r="AE84" s="45"/>
      <c r="AF84" s="45"/>
      <c r="AG84" s="45"/>
      <c r="AH84" s="45"/>
      <c r="AI84" s="45"/>
      <c r="AJ84" s="45"/>
      <c r="AK84" s="45"/>
      <c r="AL84" s="45"/>
      <c r="AM84" s="45"/>
      <c r="AN84" s="45"/>
      <c r="AO84" s="45"/>
      <c r="AP84" s="45"/>
      <c r="AQ84" s="45"/>
      <c r="AR84" s="45"/>
      <c r="AS84" s="45"/>
      <c r="AT84" s="45"/>
      <c r="AU84" s="45"/>
      <c r="AV84" s="45"/>
      <c r="AW84" s="45"/>
      <c r="AX84" s="45"/>
      <c r="AY84" s="45"/>
      <c r="AZ84" s="45"/>
      <c r="BA84" s="45"/>
      <c r="BB84" s="45"/>
      <c r="BC84" s="45"/>
      <c r="BD84" s="45"/>
      <c r="BE84" s="45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26"/>
      <c r="JZ84" s="24"/>
      <c r="KA84" s="24"/>
      <c r="KB84" s="24"/>
      <c r="KC84" s="24"/>
      <c r="KD84" s="24"/>
      <c r="KE84" s="24"/>
      <c r="KF84" s="24"/>
      <c r="KG84" s="24"/>
      <c r="KH84" s="24"/>
      <c r="KI84" s="24"/>
      <c r="KJ84" s="24"/>
      <c r="KK84" s="24"/>
      <c r="KL84" s="24"/>
      <c r="KM84" s="24"/>
      <c r="KN84" s="24"/>
      <c r="KO84" s="24"/>
      <c r="KP84" s="24"/>
      <c r="KQ84" s="22"/>
      <c r="KR84" s="22"/>
      <c r="KS84" s="22"/>
      <c r="KT84" s="22"/>
      <c r="KU84" s="23"/>
      <c r="KV84" s="26"/>
      <c r="KW84" s="24"/>
      <c r="KX84" s="24"/>
      <c r="KY84" s="24"/>
      <c r="KZ84" s="24"/>
      <c r="LA84" s="24"/>
      <c r="LB84" s="24"/>
      <c r="LC84" s="24"/>
      <c r="LD84" s="24"/>
      <c r="LE84" s="24"/>
      <c r="LF84" s="24"/>
      <c r="LG84" s="24"/>
      <c r="LH84" s="24"/>
      <c r="LI84" s="24"/>
      <c r="LJ84" s="24"/>
      <c r="LK84" s="24"/>
      <c r="LL84" s="24"/>
      <c r="LM84" s="24"/>
      <c r="LN84" s="22"/>
      <c r="LO84" s="22"/>
      <c r="LP84" s="22"/>
      <c r="LQ84" s="22"/>
      <c r="LR84" s="23"/>
      <c r="LS84" s="26"/>
      <c r="LT84" s="24"/>
      <c r="LU84" s="24"/>
      <c r="LV84" s="24"/>
      <c r="LW84" s="24"/>
      <c r="LX84" s="24"/>
      <c r="LY84" s="24"/>
      <c r="LZ84" s="24"/>
      <c r="MA84" s="24"/>
      <c r="MB84" s="24"/>
      <c r="MC84" s="24"/>
      <c r="MD84" s="24"/>
      <c r="ME84" s="24"/>
      <c r="MF84" s="24"/>
      <c r="MG84" s="24"/>
      <c r="MH84" s="24"/>
      <c r="MI84" s="24"/>
      <c r="MJ84" s="24"/>
      <c r="MK84" s="22"/>
      <c r="ML84" s="22"/>
      <c r="MM84" s="22"/>
      <c r="MN84" s="22"/>
      <c r="MO84" s="23"/>
      <c r="MP84" s="26"/>
      <c r="MQ84" s="24"/>
      <c r="MR84" s="24"/>
      <c r="MS84" s="24"/>
      <c r="MT84" s="24"/>
      <c r="MU84" s="24"/>
      <c r="MV84" s="24"/>
      <c r="MW84" s="24"/>
      <c r="MX84" s="24"/>
      <c r="MY84" s="24"/>
      <c r="MZ84" s="24"/>
      <c r="NA84" s="24"/>
      <c r="NB84" s="24"/>
      <c r="NC84" s="24"/>
      <c r="ND84" s="24"/>
      <c r="NE84" s="24"/>
      <c r="NF84" s="24"/>
      <c r="NG84" s="24"/>
      <c r="NH84" s="22"/>
      <c r="NI84" s="22"/>
      <c r="NJ84" s="22"/>
      <c r="NK84" s="22"/>
      <c r="NL84" s="23"/>
      <c r="NM84" s="26"/>
      <c r="NN84" s="24"/>
      <c r="NO84" s="24"/>
      <c r="NP84" s="24"/>
      <c r="NQ84" s="24"/>
      <c r="NR84" s="24"/>
      <c r="NS84" s="24"/>
      <c r="NT84" s="24"/>
      <c r="NU84" s="24"/>
      <c r="NV84" s="24"/>
      <c r="NW84" s="24"/>
      <c r="NX84" s="24"/>
      <c r="NY84" s="24"/>
      <c r="NZ84" s="24"/>
      <c r="OA84" s="24"/>
      <c r="OB84" s="24"/>
      <c r="OC84" s="24"/>
      <c r="OD84" s="24"/>
      <c r="OE84" s="22"/>
      <c r="OF84" s="22"/>
      <c r="OG84" s="22"/>
      <c r="OH84" s="22"/>
      <c r="OI84" s="23"/>
      <c r="OJ84" s="26"/>
      <c r="OK84" s="24"/>
      <c r="OL84" s="24"/>
      <c r="OM84" s="24"/>
      <c r="ON84" s="24"/>
      <c r="OO84" s="24"/>
      <c r="OP84" s="24"/>
      <c r="OQ84" s="24"/>
      <c r="OR84" s="24"/>
      <c r="OS84" s="24"/>
      <c r="OT84" s="24"/>
      <c r="OU84" s="24"/>
      <c r="OV84" s="24"/>
      <c r="OW84" s="24"/>
      <c r="OX84" s="24"/>
      <c r="OY84" s="24"/>
      <c r="OZ84" s="24"/>
      <c r="PA84" s="24"/>
      <c r="PB84" s="22"/>
      <c r="PC84" s="22"/>
      <c r="PD84" s="22"/>
      <c r="PE84" s="22"/>
      <c r="PF84" s="23"/>
      <c r="PG84" s="26"/>
      <c r="PH84" s="24"/>
      <c r="PI84" s="24"/>
      <c r="PJ84" s="24"/>
      <c r="PK84" s="24"/>
      <c r="PL84" s="24"/>
      <c r="PM84" s="24"/>
      <c r="PN84" s="24"/>
      <c r="PO84" s="24"/>
      <c r="PP84" s="24"/>
      <c r="PQ84" s="24"/>
      <c r="PR84" s="24"/>
      <c r="PS84" s="24"/>
      <c r="PT84" s="24"/>
      <c r="PU84" s="24"/>
      <c r="PV84" s="24"/>
      <c r="PW84" s="24"/>
      <c r="PX84" s="24"/>
      <c r="PY84" s="22"/>
      <c r="PZ84" s="22"/>
      <c r="QA84" s="22"/>
      <c r="QB84" s="22"/>
      <c r="QC84" s="23"/>
      <c r="QD84" s="26"/>
      <c r="QE84" s="24"/>
      <c r="QF84" s="24"/>
      <c r="QG84" s="24"/>
      <c r="QH84" s="24"/>
      <c r="QI84" s="24"/>
      <c r="QJ84" s="24"/>
      <c r="QK84" s="24"/>
      <c r="QL84" s="24"/>
      <c r="QM84" s="24"/>
      <c r="QN84" s="24"/>
      <c r="QO84" s="24"/>
      <c r="QP84" s="24"/>
      <c r="QQ84" s="24"/>
      <c r="QR84" s="24"/>
      <c r="QS84" s="24"/>
      <c r="QT84" s="24"/>
      <c r="QU84" s="24"/>
      <c r="QV84" s="22"/>
      <c r="QW84" s="22"/>
      <c r="QX84" s="22"/>
      <c r="QY84" s="22"/>
      <c r="QZ84" s="23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</row>
    <row r="85" spans="1:540" ht="39.950000000000003" customHeight="1" x14ac:dyDescent="0.5">
      <c r="A85" s="44" t="str">
        <f t="shared" ref="A85:C85" si="146">A82</f>
        <v>Dirty Magic</v>
      </c>
      <c r="B85" s="44">
        <f t="shared" si="146"/>
        <v>2</v>
      </c>
      <c r="C85" s="44">
        <f t="shared" si="146"/>
        <v>-2</v>
      </c>
      <c r="D85" s="86" t="s">
        <v>32</v>
      </c>
      <c r="E85" s="105">
        <f>SUM(E78:E84)</f>
        <v>29</v>
      </c>
      <c r="F85" s="105">
        <f t="shared" ref="F85:U85" si="147">SUM(F78:F84)</f>
        <v>42</v>
      </c>
      <c r="G85" s="105">
        <f t="shared" si="147"/>
        <v>4</v>
      </c>
      <c r="H85" s="105">
        <f t="shared" si="147"/>
        <v>19</v>
      </c>
      <c r="I85" s="105">
        <f t="shared" si="147"/>
        <v>33</v>
      </c>
      <c r="J85" s="105">
        <f t="shared" si="147"/>
        <v>61</v>
      </c>
      <c r="K85" s="105">
        <f t="shared" si="147"/>
        <v>8</v>
      </c>
      <c r="L85" s="105">
        <f t="shared" si="147"/>
        <v>13</v>
      </c>
      <c r="M85" s="105">
        <f t="shared" si="147"/>
        <v>8</v>
      </c>
      <c r="N85" s="105">
        <f t="shared" si="147"/>
        <v>27</v>
      </c>
      <c r="O85" s="105">
        <f t="shared" si="147"/>
        <v>78</v>
      </c>
      <c r="P85" s="105">
        <f t="shared" si="147"/>
        <v>35</v>
      </c>
      <c r="Q85" s="105">
        <f t="shared" si="147"/>
        <v>23</v>
      </c>
      <c r="R85" s="105">
        <f t="shared" si="147"/>
        <v>4</v>
      </c>
      <c r="S85" s="105">
        <f t="shared" si="147"/>
        <v>4</v>
      </c>
      <c r="T85" s="105">
        <f t="shared" si="147"/>
        <v>7</v>
      </c>
      <c r="U85" s="105">
        <f t="shared" si="147"/>
        <v>6</v>
      </c>
      <c r="V85" s="106">
        <f t="shared" si="134"/>
        <v>0.54098360655737709</v>
      </c>
      <c r="W85" s="106">
        <f t="shared" si="142"/>
        <v>0.58453237410071945</v>
      </c>
      <c r="X85" s="106">
        <f t="shared" si="135"/>
        <v>0.61538461538461542</v>
      </c>
      <c r="Y85" s="106">
        <f t="shared" si="136"/>
        <v>0.69047619047619047</v>
      </c>
      <c r="Z85" s="106">
        <f t="shared" si="137"/>
        <v>0.21052631578947367</v>
      </c>
      <c r="AA85" s="107">
        <f>AVERAGE(AA78:AA84)</f>
        <v>10.528571428571428</v>
      </c>
      <c r="AB85" s="46" t="str">
        <f>AB83</f>
        <v>PRE</v>
      </c>
      <c r="AC85" s="45"/>
      <c r="BE85" s="45"/>
    </row>
    <row r="86" spans="1:540" ht="39.950000000000003" customHeight="1" x14ac:dyDescent="0.55000000000000004">
      <c r="A86" s="44" t="s">
        <v>33</v>
      </c>
      <c r="B86" s="44">
        <f t="shared" ref="B86:C86" si="148">B85</f>
        <v>2</v>
      </c>
      <c r="C86" s="44">
        <f t="shared" si="148"/>
        <v>-2</v>
      </c>
      <c r="D86" s="82" t="s">
        <v>54</v>
      </c>
      <c r="E86" s="83"/>
      <c r="F86" s="83"/>
      <c r="G86" s="83"/>
      <c r="H86" s="83"/>
      <c r="I86" s="83"/>
      <c r="J86" s="83"/>
      <c r="K86" s="83"/>
      <c r="L86" s="83"/>
      <c r="M86" s="83"/>
      <c r="N86" s="83"/>
      <c r="O86" s="83">
        <v>50</v>
      </c>
      <c r="P86" s="83"/>
      <c r="Q86" s="83"/>
      <c r="R86" s="83"/>
      <c r="S86" s="83"/>
      <c r="T86" s="83"/>
      <c r="U86" s="83"/>
      <c r="V86" s="83"/>
      <c r="W86" s="83"/>
      <c r="X86" s="83"/>
      <c r="Y86" s="83"/>
      <c r="Z86" s="83"/>
      <c r="AA86" s="83"/>
      <c r="AB86" s="46" t="str">
        <f t="shared" si="144"/>
        <v>PRE</v>
      </c>
      <c r="AC86" s="45"/>
      <c r="AD86" s="45"/>
      <c r="AE86" s="45"/>
      <c r="AF86" s="45"/>
      <c r="AG86" s="45"/>
      <c r="AH86" s="45"/>
      <c r="AI86" s="45"/>
      <c r="AJ86" s="45"/>
      <c r="AK86" s="45"/>
      <c r="AL86" s="45"/>
      <c r="AM86" s="45"/>
      <c r="AN86" s="45"/>
      <c r="AO86" s="45"/>
      <c r="AP86" s="45"/>
      <c r="AQ86" s="45"/>
      <c r="AR86" s="45"/>
      <c r="AS86" s="45"/>
      <c r="AT86" s="45"/>
      <c r="AU86" s="45"/>
      <c r="AV86" s="45"/>
      <c r="AW86" s="45"/>
      <c r="AX86" s="45"/>
      <c r="AY86" s="45"/>
      <c r="AZ86" s="45"/>
      <c r="BA86" s="45"/>
      <c r="BB86" s="45"/>
      <c r="BC86" s="45"/>
      <c r="BD86" s="45"/>
      <c r="BE86" s="45"/>
    </row>
    <row r="87" spans="1:540" ht="39.950000000000003" customHeight="1" x14ac:dyDescent="0.5">
      <c r="A87" s="44" t="s">
        <v>55</v>
      </c>
      <c r="B87" s="44">
        <v>2</v>
      </c>
      <c r="C87" s="44">
        <v>-1</v>
      </c>
      <c r="D87" s="86" t="s">
        <v>36</v>
      </c>
      <c r="E87" s="87">
        <v>7</v>
      </c>
      <c r="F87" s="87">
        <v>12</v>
      </c>
      <c r="G87" s="87">
        <v>0</v>
      </c>
      <c r="H87" s="87">
        <v>3</v>
      </c>
      <c r="I87" s="87">
        <v>7</v>
      </c>
      <c r="J87" s="87">
        <v>15</v>
      </c>
      <c r="K87" s="87">
        <v>2</v>
      </c>
      <c r="L87" s="87">
        <v>3</v>
      </c>
      <c r="M87" s="87">
        <v>4</v>
      </c>
      <c r="N87" s="87">
        <v>4</v>
      </c>
      <c r="O87" s="87">
        <v>16</v>
      </c>
      <c r="P87" s="87">
        <v>8</v>
      </c>
      <c r="Q87" s="87">
        <v>10</v>
      </c>
      <c r="R87" s="87">
        <v>1</v>
      </c>
      <c r="S87" s="87">
        <v>0</v>
      </c>
      <c r="T87" s="87">
        <v>2</v>
      </c>
      <c r="U87" s="87">
        <v>0</v>
      </c>
      <c r="V87" s="88">
        <v>0.4667</v>
      </c>
      <c r="W87" s="88">
        <f>IFERROR(O87/(2*(J87+0.44*L87)), 0)</f>
        <v>0.49019607843137253</v>
      </c>
      <c r="X87" s="88">
        <v>0.66669999999999996</v>
      </c>
      <c r="Y87" s="88">
        <v>0.58330000000000004</v>
      </c>
      <c r="Z87" s="88">
        <v>0</v>
      </c>
      <c r="AA87" s="89">
        <v>17.600000000000001</v>
      </c>
      <c r="AB87" s="167" t="s">
        <v>31</v>
      </c>
      <c r="AC87" s="45"/>
      <c r="AD87" s="45"/>
      <c r="AE87" s="45"/>
      <c r="AF87" s="45"/>
      <c r="AG87" s="45"/>
      <c r="AH87" s="45"/>
      <c r="AI87" s="45"/>
      <c r="AJ87" s="45"/>
      <c r="AK87" s="45"/>
      <c r="AL87" s="45"/>
      <c r="AM87" s="45"/>
      <c r="AN87" s="45"/>
      <c r="AO87" s="45"/>
      <c r="AP87" s="45"/>
      <c r="AQ87" s="45"/>
      <c r="AR87" s="45"/>
      <c r="AS87" s="45"/>
      <c r="AT87" s="45"/>
      <c r="AU87" s="45"/>
      <c r="AV87" s="45"/>
      <c r="AW87" s="45"/>
      <c r="AX87" s="45"/>
      <c r="AY87" s="45"/>
      <c r="AZ87" s="45"/>
      <c r="BA87" s="45"/>
      <c r="BB87" s="45"/>
      <c r="BC87" s="45"/>
      <c r="BD87" s="45"/>
      <c r="BE87" s="45"/>
    </row>
    <row r="88" spans="1:540" ht="39.950000000000003" customHeight="1" x14ac:dyDescent="0.5">
      <c r="A88" s="44" t="s">
        <v>55</v>
      </c>
      <c r="B88" s="44">
        <v>2</v>
      </c>
      <c r="C88" s="44">
        <v>-1</v>
      </c>
      <c r="D88" s="86" t="s">
        <v>28</v>
      </c>
      <c r="E88" s="90">
        <v>4</v>
      </c>
      <c r="F88" s="90">
        <v>6</v>
      </c>
      <c r="G88" s="90">
        <v>1</v>
      </c>
      <c r="H88" s="90">
        <v>5</v>
      </c>
      <c r="I88" s="90">
        <v>5</v>
      </c>
      <c r="J88" s="90">
        <v>11</v>
      </c>
      <c r="K88" s="90">
        <v>0</v>
      </c>
      <c r="L88" s="90">
        <v>0</v>
      </c>
      <c r="M88" s="90">
        <v>2</v>
      </c>
      <c r="N88" s="90">
        <v>3</v>
      </c>
      <c r="O88" s="90">
        <v>11</v>
      </c>
      <c r="P88" s="90">
        <v>5</v>
      </c>
      <c r="Q88" s="90">
        <v>4</v>
      </c>
      <c r="R88" s="90">
        <v>0</v>
      </c>
      <c r="S88" s="90">
        <v>0</v>
      </c>
      <c r="T88" s="90">
        <v>0</v>
      </c>
      <c r="U88" s="90">
        <v>1</v>
      </c>
      <c r="V88" s="91">
        <v>0.45450000000000002</v>
      </c>
      <c r="W88" s="91">
        <f t="shared" ref="W88:W94" si="149">IFERROR(O88/(2*(J88+0.44*L88)), 0)</f>
        <v>0.5</v>
      </c>
      <c r="X88" s="91">
        <v>0</v>
      </c>
      <c r="Y88" s="91">
        <v>0.66669999999999996</v>
      </c>
      <c r="Z88" s="91">
        <v>0.2</v>
      </c>
      <c r="AA88" s="92">
        <v>10</v>
      </c>
      <c r="AB88" s="46" t="s">
        <v>31</v>
      </c>
    </row>
    <row r="89" spans="1:540" ht="39.950000000000003" customHeight="1" x14ac:dyDescent="0.5">
      <c r="A89" s="44" t="s">
        <v>55</v>
      </c>
      <c r="B89" s="44">
        <v>2</v>
      </c>
      <c r="C89" s="44">
        <v>-1</v>
      </c>
      <c r="D89" s="86" t="s">
        <v>29</v>
      </c>
      <c r="E89" s="93">
        <v>0</v>
      </c>
      <c r="F89" s="93">
        <v>1</v>
      </c>
      <c r="G89" s="93">
        <v>0</v>
      </c>
      <c r="H89" s="93">
        <v>1</v>
      </c>
      <c r="I89" s="93">
        <v>0</v>
      </c>
      <c r="J89" s="93">
        <v>2</v>
      </c>
      <c r="K89" s="93">
        <v>0</v>
      </c>
      <c r="L89" s="93">
        <v>0</v>
      </c>
      <c r="M89" s="93">
        <v>1</v>
      </c>
      <c r="N89" s="93">
        <v>1</v>
      </c>
      <c r="O89" s="93">
        <v>0</v>
      </c>
      <c r="P89" s="93">
        <v>2</v>
      </c>
      <c r="Q89" s="93">
        <v>1</v>
      </c>
      <c r="R89" s="93">
        <v>0</v>
      </c>
      <c r="S89" s="93">
        <v>1</v>
      </c>
      <c r="T89" s="93">
        <v>1</v>
      </c>
      <c r="U89" s="93">
        <v>0</v>
      </c>
      <c r="V89" s="94">
        <v>0</v>
      </c>
      <c r="W89" s="94">
        <f t="shared" si="149"/>
        <v>0</v>
      </c>
      <c r="X89" s="94">
        <v>0</v>
      </c>
      <c r="Y89" s="94">
        <v>0</v>
      </c>
      <c r="Z89" s="94">
        <v>0</v>
      </c>
      <c r="AA89" s="95">
        <v>0.3</v>
      </c>
      <c r="AB89" s="46" t="s">
        <v>31</v>
      </c>
    </row>
    <row r="90" spans="1:540" ht="39.950000000000003" customHeight="1" x14ac:dyDescent="0.5">
      <c r="A90" s="44" t="s">
        <v>55</v>
      </c>
      <c r="B90" s="44">
        <v>2</v>
      </c>
      <c r="C90" s="44">
        <v>-1</v>
      </c>
      <c r="D90" s="86" t="s">
        <v>30</v>
      </c>
      <c r="E90" s="96">
        <v>9</v>
      </c>
      <c r="F90" s="96">
        <v>12</v>
      </c>
      <c r="G90" s="96">
        <v>0</v>
      </c>
      <c r="H90" s="96">
        <v>2</v>
      </c>
      <c r="I90" s="96">
        <v>9</v>
      </c>
      <c r="J90" s="96">
        <v>14</v>
      </c>
      <c r="K90" s="96">
        <v>0</v>
      </c>
      <c r="L90" s="96">
        <v>0</v>
      </c>
      <c r="M90" s="96">
        <v>3</v>
      </c>
      <c r="N90" s="96">
        <v>3</v>
      </c>
      <c r="O90" s="96">
        <v>18</v>
      </c>
      <c r="P90" s="96">
        <v>6</v>
      </c>
      <c r="Q90" s="96">
        <v>1</v>
      </c>
      <c r="R90" s="96">
        <v>0</v>
      </c>
      <c r="S90" s="96">
        <v>4</v>
      </c>
      <c r="T90" s="96">
        <v>1</v>
      </c>
      <c r="U90" s="96">
        <v>2</v>
      </c>
      <c r="V90" s="97">
        <v>0.64290000000000003</v>
      </c>
      <c r="W90" s="97">
        <f t="shared" si="149"/>
        <v>0.6428571428571429</v>
      </c>
      <c r="X90" s="97">
        <v>0</v>
      </c>
      <c r="Y90" s="97">
        <v>0.75</v>
      </c>
      <c r="Z90" s="97">
        <v>0</v>
      </c>
      <c r="AA90" s="98">
        <v>17.7</v>
      </c>
      <c r="AB90" s="46" t="s">
        <v>31</v>
      </c>
    </row>
    <row r="91" spans="1:540" ht="39.950000000000003" customHeight="1" x14ac:dyDescent="0.5">
      <c r="A91" s="44" t="s">
        <v>55</v>
      </c>
      <c r="B91" s="44">
        <v>2</v>
      </c>
      <c r="C91" s="44">
        <v>-1</v>
      </c>
      <c r="D91" s="86" t="s">
        <v>45</v>
      </c>
      <c r="E91" s="99">
        <v>4</v>
      </c>
      <c r="F91" s="99">
        <v>9</v>
      </c>
      <c r="G91" s="99">
        <v>0</v>
      </c>
      <c r="H91" s="99">
        <v>5</v>
      </c>
      <c r="I91" s="99">
        <v>4</v>
      </c>
      <c r="J91" s="99">
        <v>14</v>
      </c>
      <c r="K91" s="99">
        <v>2</v>
      </c>
      <c r="L91" s="99">
        <v>2</v>
      </c>
      <c r="M91" s="99">
        <v>4</v>
      </c>
      <c r="N91" s="99">
        <v>8</v>
      </c>
      <c r="O91" s="99">
        <v>10</v>
      </c>
      <c r="P91" s="99">
        <v>12</v>
      </c>
      <c r="Q91" s="99">
        <v>6</v>
      </c>
      <c r="R91" s="99">
        <v>0</v>
      </c>
      <c r="S91" s="99">
        <v>2</v>
      </c>
      <c r="T91" s="99">
        <v>1</v>
      </c>
      <c r="U91" s="99">
        <v>3</v>
      </c>
      <c r="V91" s="100">
        <v>0.28570000000000001</v>
      </c>
      <c r="W91" s="100">
        <f t="shared" si="149"/>
        <v>0.33602150537634407</v>
      </c>
      <c r="X91" s="100">
        <v>1</v>
      </c>
      <c r="Y91" s="100">
        <v>0.44440000000000002</v>
      </c>
      <c r="Z91" s="100">
        <v>0</v>
      </c>
      <c r="AA91" s="101">
        <v>11</v>
      </c>
      <c r="AB91" s="46" t="s">
        <v>31</v>
      </c>
    </row>
    <row r="92" spans="1:540" ht="39.950000000000003" customHeight="1" x14ac:dyDescent="0.5">
      <c r="A92" s="44" t="s">
        <v>55</v>
      </c>
      <c r="B92" s="44">
        <v>2</v>
      </c>
      <c r="C92" s="44">
        <v>-1</v>
      </c>
      <c r="D92" s="86" t="s">
        <v>51</v>
      </c>
      <c r="E92" s="102">
        <v>6</v>
      </c>
      <c r="F92" s="102">
        <v>8</v>
      </c>
      <c r="G92" s="102">
        <v>0</v>
      </c>
      <c r="H92" s="102">
        <v>1</v>
      </c>
      <c r="I92" s="102">
        <v>6</v>
      </c>
      <c r="J92" s="102">
        <v>9</v>
      </c>
      <c r="K92" s="102">
        <v>0</v>
      </c>
      <c r="L92" s="102">
        <v>3</v>
      </c>
      <c r="M92" s="102">
        <v>2</v>
      </c>
      <c r="N92" s="102">
        <v>4</v>
      </c>
      <c r="O92" s="102">
        <v>12</v>
      </c>
      <c r="P92" s="102">
        <v>6</v>
      </c>
      <c r="Q92" s="102">
        <v>1</v>
      </c>
      <c r="R92" s="102">
        <v>0</v>
      </c>
      <c r="S92" s="102">
        <v>0</v>
      </c>
      <c r="T92" s="102">
        <v>2</v>
      </c>
      <c r="U92" s="102">
        <v>2</v>
      </c>
      <c r="V92" s="103">
        <v>0.66669999999999996</v>
      </c>
      <c r="W92" s="103">
        <f t="shared" si="149"/>
        <v>0.58139534883720934</v>
      </c>
      <c r="X92" s="103">
        <v>0</v>
      </c>
      <c r="Y92" s="103">
        <v>0.75</v>
      </c>
      <c r="Z92" s="103">
        <v>0</v>
      </c>
      <c r="AA92" s="104">
        <v>7.4</v>
      </c>
      <c r="AB92" s="46" t="s">
        <v>31</v>
      </c>
    </row>
    <row r="93" spans="1:540" ht="39.950000000000003" customHeight="1" x14ac:dyDescent="0.5">
      <c r="A93" s="44" t="s">
        <v>55</v>
      </c>
      <c r="B93" s="44">
        <v>2</v>
      </c>
      <c r="C93" s="44">
        <v>-1</v>
      </c>
      <c r="D93" s="86" t="s">
        <v>41</v>
      </c>
      <c r="E93" s="160">
        <v>0</v>
      </c>
      <c r="F93" s="160">
        <v>0</v>
      </c>
      <c r="G93" s="160">
        <v>1</v>
      </c>
      <c r="H93" s="160">
        <v>4</v>
      </c>
      <c r="I93" s="160">
        <v>1</v>
      </c>
      <c r="J93" s="160">
        <v>4</v>
      </c>
      <c r="K93" s="160">
        <v>0</v>
      </c>
      <c r="L93" s="160">
        <v>0</v>
      </c>
      <c r="M93" s="160">
        <v>2</v>
      </c>
      <c r="N93" s="160">
        <v>0</v>
      </c>
      <c r="O93" s="160">
        <v>3</v>
      </c>
      <c r="P93" s="160">
        <v>2</v>
      </c>
      <c r="Q93" s="160">
        <v>1</v>
      </c>
      <c r="R93" s="160">
        <v>0</v>
      </c>
      <c r="S93" s="160">
        <v>0</v>
      </c>
      <c r="T93" s="160">
        <v>0</v>
      </c>
      <c r="U93" s="160">
        <v>0</v>
      </c>
      <c r="V93" s="161">
        <v>0.25</v>
      </c>
      <c r="W93" s="161">
        <f t="shared" si="149"/>
        <v>0.375</v>
      </c>
      <c r="X93" s="161">
        <v>0</v>
      </c>
      <c r="Y93" s="161">
        <v>0</v>
      </c>
      <c r="Z93" s="161">
        <v>0.25</v>
      </c>
      <c r="AA93" s="162">
        <v>2.7</v>
      </c>
      <c r="AB93" s="46" t="s">
        <v>31</v>
      </c>
    </row>
    <row r="94" spans="1:540" ht="39.950000000000003" customHeight="1" x14ac:dyDescent="0.5">
      <c r="A94" s="44" t="s">
        <v>55</v>
      </c>
      <c r="B94" s="44">
        <v>2</v>
      </c>
      <c r="C94" s="44">
        <v>-1</v>
      </c>
      <c r="D94" s="86" t="s">
        <v>32</v>
      </c>
      <c r="E94" s="105">
        <v>30</v>
      </c>
      <c r="F94" s="105">
        <v>48</v>
      </c>
      <c r="G94" s="105">
        <v>2</v>
      </c>
      <c r="H94" s="105">
        <v>21</v>
      </c>
      <c r="I94" s="105">
        <v>32</v>
      </c>
      <c r="J94" s="105">
        <v>69</v>
      </c>
      <c r="K94" s="105">
        <v>4</v>
      </c>
      <c r="L94" s="105">
        <v>8</v>
      </c>
      <c r="M94" s="105">
        <v>18</v>
      </c>
      <c r="N94" s="105">
        <v>23</v>
      </c>
      <c r="O94" s="105">
        <v>70</v>
      </c>
      <c r="P94" s="105">
        <v>41</v>
      </c>
      <c r="Q94" s="105">
        <v>24</v>
      </c>
      <c r="R94" s="105">
        <v>1</v>
      </c>
      <c r="S94" s="105">
        <v>7</v>
      </c>
      <c r="T94" s="105">
        <v>7</v>
      </c>
      <c r="U94" s="105">
        <v>8</v>
      </c>
      <c r="V94" s="106">
        <v>0.46379999999999999</v>
      </c>
      <c r="W94" s="106">
        <f t="shared" si="149"/>
        <v>0.48262548262548266</v>
      </c>
      <c r="X94" s="106">
        <v>0.5</v>
      </c>
      <c r="Y94" s="106">
        <v>0.625</v>
      </c>
      <c r="Z94" s="106">
        <v>9.5200000000000007E-2</v>
      </c>
      <c r="AA94" s="107">
        <v>9.5299999999999994</v>
      </c>
      <c r="AB94" s="46" t="s">
        <v>31</v>
      </c>
    </row>
    <row r="95" spans="1:540" ht="39.950000000000003" customHeight="1" x14ac:dyDescent="0.55000000000000004">
      <c r="A95" s="44" t="s">
        <v>33</v>
      </c>
      <c r="B95" s="44">
        <v>2</v>
      </c>
      <c r="C95" s="44">
        <v>-1</v>
      </c>
      <c r="D95" s="82" t="s">
        <v>55</v>
      </c>
      <c r="E95" s="83"/>
      <c r="F95" s="83"/>
      <c r="G95" s="83"/>
      <c r="H95" s="83"/>
      <c r="I95" s="83"/>
      <c r="J95" s="83"/>
      <c r="K95" s="83"/>
      <c r="L95" s="83"/>
      <c r="M95" s="83"/>
      <c r="N95" s="83"/>
      <c r="O95" s="83">
        <v>50</v>
      </c>
      <c r="P95" s="83"/>
      <c r="Q95" s="83"/>
      <c r="R95" s="83"/>
      <c r="S95" s="83"/>
      <c r="T95" s="83"/>
      <c r="U95" s="83"/>
      <c r="V95" s="83"/>
      <c r="W95" s="83"/>
      <c r="X95" s="83"/>
      <c r="Y95" s="83"/>
      <c r="Z95" s="83"/>
      <c r="AA95" s="83"/>
      <c r="AB95" s="46" t="s">
        <v>31</v>
      </c>
    </row>
    <row r="96" spans="1:540" ht="39.950000000000003" customHeight="1" x14ac:dyDescent="0.5">
      <c r="A96" s="44" t="str">
        <f>D103</f>
        <v>Killer Barbies</v>
      </c>
      <c r="B96" s="44">
        <v>2</v>
      </c>
      <c r="C96" s="44">
        <v>1</v>
      </c>
      <c r="D96" s="86" t="s">
        <v>36</v>
      </c>
      <c r="E96" s="87">
        <v>4</v>
      </c>
      <c r="F96" s="87">
        <v>10</v>
      </c>
      <c r="G96" s="87">
        <v>2</v>
      </c>
      <c r="H96" s="87">
        <v>4</v>
      </c>
      <c r="I96" s="87">
        <f>E96+G96</f>
        <v>6</v>
      </c>
      <c r="J96" s="87">
        <f>F96+H96</f>
        <v>14</v>
      </c>
      <c r="K96" s="87">
        <v>0</v>
      </c>
      <c r="L96" s="87">
        <v>0</v>
      </c>
      <c r="M96" s="87">
        <v>4</v>
      </c>
      <c r="N96" s="87">
        <v>4</v>
      </c>
      <c r="O96" s="87">
        <f>E96*2+G96*3+K96</f>
        <v>14</v>
      </c>
      <c r="P96" s="87">
        <f>M96+N96</f>
        <v>8</v>
      </c>
      <c r="Q96" s="87">
        <v>4</v>
      </c>
      <c r="R96" s="87">
        <v>1</v>
      </c>
      <c r="S96" s="87">
        <v>0</v>
      </c>
      <c r="T96" s="87">
        <v>1</v>
      </c>
      <c r="U96" s="87">
        <v>1</v>
      </c>
      <c r="V96" s="88">
        <f>IFERROR(I96/J96,0)</f>
        <v>0.42857142857142855</v>
      </c>
      <c r="W96" s="88">
        <f>IFERROR(O96/(2*(J96+0.44*L96)), 0)</f>
        <v>0.5</v>
      </c>
      <c r="X96" s="88">
        <f>IFERROR(K96/L96,0)</f>
        <v>0</v>
      </c>
      <c r="Y96" s="88">
        <f>IFERROR(E96/F96,0)</f>
        <v>0.4</v>
      </c>
      <c r="Z96" s="88">
        <f>IFERROR(G96/H96,0)</f>
        <v>0.5</v>
      </c>
      <c r="AA96" s="89">
        <f>(O96)+(0.4*I96)-(0.7*J96)-(0.4*(L96-K96))+(0.7*M96)+(0.3*N96)+S96+(0.7*Q96)+(0.7*R96)-(0.4*U96)-T96</f>
        <v>12.699999999999998</v>
      </c>
      <c r="AB96" s="167" t="s">
        <v>27</v>
      </c>
    </row>
    <row r="97" spans="1:28" ht="39.950000000000003" customHeight="1" x14ac:dyDescent="0.5">
      <c r="A97" s="44" t="str">
        <f>A96</f>
        <v>Killer Barbies</v>
      </c>
      <c r="B97" s="44">
        <f>B96</f>
        <v>2</v>
      </c>
      <c r="C97" s="44">
        <f>C96</f>
        <v>1</v>
      </c>
      <c r="D97" s="86" t="s">
        <v>28</v>
      </c>
      <c r="E97" s="90">
        <v>0</v>
      </c>
      <c r="F97" s="90">
        <v>4</v>
      </c>
      <c r="G97" s="90">
        <v>1</v>
      </c>
      <c r="H97" s="90">
        <v>7</v>
      </c>
      <c r="I97" s="90">
        <f t="shared" ref="I97:J101" si="150">E97+G97</f>
        <v>1</v>
      </c>
      <c r="J97" s="90">
        <f t="shared" si="150"/>
        <v>11</v>
      </c>
      <c r="K97" s="90">
        <v>3</v>
      </c>
      <c r="L97" s="90">
        <v>6</v>
      </c>
      <c r="M97" s="90">
        <v>0</v>
      </c>
      <c r="N97" s="90">
        <v>5</v>
      </c>
      <c r="O97" s="90">
        <f t="shared" ref="O97:O101" si="151">E97*2+G97*3+K97</f>
        <v>6</v>
      </c>
      <c r="P97" s="90">
        <f t="shared" ref="P97:P101" si="152">M97+N97</f>
        <v>5</v>
      </c>
      <c r="Q97" s="90">
        <v>4</v>
      </c>
      <c r="R97" s="90">
        <v>0</v>
      </c>
      <c r="S97" s="90">
        <v>1</v>
      </c>
      <c r="T97" s="90">
        <v>1</v>
      </c>
      <c r="U97" s="90">
        <v>3</v>
      </c>
      <c r="V97" s="91">
        <f t="shared" ref="V97:V102" si="153">IFERROR(I97/J97,0)</f>
        <v>9.0909090909090912E-2</v>
      </c>
      <c r="W97" s="91">
        <f t="shared" ref="W97:W102" si="154">IFERROR(O97/(2*(J97+0.44*L97)), 0)</f>
        <v>0.21994134897360704</v>
      </c>
      <c r="X97" s="91">
        <f t="shared" ref="X97:X102" si="155">IFERROR(K97/L97,0)</f>
        <v>0.5</v>
      </c>
      <c r="Y97" s="91">
        <f t="shared" ref="Y97:Y102" si="156">IFERROR(E97/F97,0)</f>
        <v>0</v>
      </c>
      <c r="Z97" s="91">
        <f t="shared" ref="Z97:Z102" si="157">IFERROR(G97/H97,0)</f>
        <v>0.14285714285714285</v>
      </c>
      <c r="AA97" s="92">
        <f t="shared" ref="AA97:AA101" si="158">(O97)+(0.4*I97)-(0.7*J97)-(0.4*(L97-K97))+(0.7*M97)+(0.3*N97)+S97+(0.7*Q97)+(0.7*R97)-(0.4*U97)-T97</f>
        <v>0.60000000000000053</v>
      </c>
      <c r="AB97" s="46" t="str">
        <f>AB96</f>
        <v>REG</v>
      </c>
    </row>
    <row r="98" spans="1:28" ht="39.950000000000003" customHeight="1" x14ac:dyDescent="0.5">
      <c r="A98" s="44" t="str">
        <f t="shared" ref="A98:C100" si="159">A97</f>
        <v>Killer Barbies</v>
      </c>
      <c r="B98" s="44">
        <f t="shared" si="159"/>
        <v>2</v>
      </c>
      <c r="C98" s="44">
        <f t="shared" si="159"/>
        <v>1</v>
      </c>
      <c r="D98" s="86" t="s">
        <v>41</v>
      </c>
      <c r="E98" s="93">
        <v>0</v>
      </c>
      <c r="F98" s="93">
        <v>1</v>
      </c>
      <c r="G98" s="93">
        <v>0</v>
      </c>
      <c r="H98" s="93">
        <v>1</v>
      </c>
      <c r="I98" s="93">
        <f t="shared" si="150"/>
        <v>0</v>
      </c>
      <c r="J98" s="93">
        <f t="shared" si="150"/>
        <v>2</v>
      </c>
      <c r="K98" s="93">
        <v>0</v>
      </c>
      <c r="L98" s="93">
        <v>0</v>
      </c>
      <c r="M98" s="93">
        <v>2</v>
      </c>
      <c r="N98" s="93">
        <v>1</v>
      </c>
      <c r="O98" s="93">
        <f t="shared" si="151"/>
        <v>0</v>
      </c>
      <c r="P98" s="93">
        <f t="shared" si="152"/>
        <v>3</v>
      </c>
      <c r="Q98" s="93">
        <v>0</v>
      </c>
      <c r="R98" s="93">
        <v>0</v>
      </c>
      <c r="S98" s="93">
        <v>2</v>
      </c>
      <c r="T98" s="93">
        <v>0</v>
      </c>
      <c r="U98" s="93">
        <v>1</v>
      </c>
      <c r="V98" s="94">
        <f t="shared" si="153"/>
        <v>0</v>
      </c>
      <c r="W98" s="94">
        <f t="shared" si="154"/>
        <v>0</v>
      </c>
      <c r="X98" s="94">
        <f t="shared" si="155"/>
        <v>0</v>
      </c>
      <c r="Y98" s="94">
        <f t="shared" si="156"/>
        <v>0</v>
      </c>
      <c r="Z98" s="94">
        <f t="shared" si="157"/>
        <v>0</v>
      </c>
      <c r="AA98" s="95">
        <f t="shared" si="158"/>
        <v>1.9</v>
      </c>
      <c r="AB98" s="46" t="str">
        <f t="shared" ref="AB98:AB103" si="160">AB97</f>
        <v>REG</v>
      </c>
    </row>
    <row r="99" spans="1:28" ht="39.950000000000003" customHeight="1" x14ac:dyDescent="0.5">
      <c r="A99" s="44" t="str">
        <f t="shared" si="159"/>
        <v>Killer Barbies</v>
      </c>
      <c r="B99" s="44">
        <f t="shared" si="159"/>
        <v>2</v>
      </c>
      <c r="C99" s="44">
        <f t="shared" si="159"/>
        <v>1</v>
      </c>
      <c r="D99" s="86" t="s">
        <v>30</v>
      </c>
      <c r="E99" s="96">
        <v>7</v>
      </c>
      <c r="F99" s="96">
        <v>10</v>
      </c>
      <c r="G99" s="96">
        <v>3</v>
      </c>
      <c r="H99" s="96">
        <v>6</v>
      </c>
      <c r="I99" s="96">
        <f t="shared" si="150"/>
        <v>10</v>
      </c>
      <c r="J99" s="96">
        <f t="shared" si="150"/>
        <v>16</v>
      </c>
      <c r="K99" s="96">
        <v>0</v>
      </c>
      <c r="L99" s="96">
        <v>2</v>
      </c>
      <c r="M99" s="96">
        <v>1</v>
      </c>
      <c r="N99" s="96">
        <v>6</v>
      </c>
      <c r="O99" s="96">
        <f t="shared" si="151"/>
        <v>23</v>
      </c>
      <c r="P99" s="96">
        <f t="shared" si="152"/>
        <v>7</v>
      </c>
      <c r="Q99" s="96">
        <v>2</v>
      </c>
      <c r="R99" s="96">
        <v>0</v>
      </c>
      <c r="S99" s="96">
        <v>2</v>
      </c>
      <c r="T99" s="96">
        <v>1</v>
      </c>
      <c r="U99" s="96">
        <v>1</v>
      </c>
      <c r="V99" s="97">
        <f t="shared" si="153"/>
        <v>0.625</v>
      </c>
      <c r="W99" s="97">
        <f t="shared" si="154"/>
        <v>0.68127962085308058</v>
      </c>
      <c r="X99" s="97">
        <f t="shared" si="155"/>
        <v>0</v>
      </c>
      <c r="Y99" s="97">
        <f t="shared" si="156"/>
        <v>0.7</v>
      </c>
      <c r="Z99" s="97">
        <f t="shared" si="157"/>
        <v>0.5</v>
      </c>
      <c r="AA99" s="98">
        <f t="shared" si="158"/>
        <v>19.5</v>
      </c>
      <c r="AB99" s="46" t="str">
        <f t="shared" si="160"/>
        <v>REG</v>
      </c>
    </row>
    <row r="100" spans="1:28" ht="39.950000000000003" customHeight="1" x14ac:dyDescent="0.5">
      <c r="A100" s="44" t="str">
        <f t="shared" si="159"/>
        <v>Killer Barbies</v>
      </c>
      <c r="B100" s="44">
        <f t="shared" si="159"/>
        <v>2</v>
      </c>
      <c r="C100" s="44">
        <f t="shared" si="159"/>
        <v>1</v>
      </c>
      <c r="D100" s="86" t="s">
        <v>45</v>
      </c>
      <c r="E100" s="99">
        <v>1</v>
      </c>
      <c r="F100" s="99">
        <v>4</v>
      </c>
      <c r="G100" s="99">
        <v>0</v>
      </c>
      <c r="H100" s="99">
        <v>3</v>
      </c>
      <c r="I100" s="99">
        <f t="shared" si="150"/>
        <v>1</v>
      </c>
      <c r="J100" s="99">
        <f t="shared" si="150"/>
        <v>7</v>
      </c>
      <c r="K100" s="99">
        <v>2</v>
      </c>
      <c r="L100" s="99">
        <v>4</v>
      </c>
      <c r="M100" s="99">
        <v>0</v>
      </c>
      <c r="N100" s="99">
        <v>4</v>
      </c>
      <c r="O100" s="99">
        <f t="shared" si="151"/>
        <v>4</v>
      </c>
      <c r="P100" s="99">
        <f t="shared" si="152"/>
        <v>4</v>
      </c>
      <c r="Q100" s="99">
        <v>3</v>
      </c>
      <c r="R100" s="99">
        <v>3</v>
      </c>
      <c r="S100" s="99">
        <v>0</v>
      </c>
      <c r="T100" s="99">
        <v>2</v>
      </c>
      <c r="U100" s="99">
        <v>1</v>
      </c>
      <c r="V100" s="100">
        <f t="shared" si="153"/>
        <v>0.14285714285714285</v>
      </c>
      <c r="W100" s="100">
        <f t="shared" si="154"/>
        <v>0.22831050228310504</v>
      </c>
      <c r="X100" s="100">
        <f t="shared" si="155"/>
        <v>0.5</v>
      </c>
      <c r="Y100" s="100">
        <f t="shared" si="156"/>
        <v>0.25</v>
      </c>
      <c r="Z100" s="100">
        <f t="shared" si="157"/>
        <v>0</v>
      </c>
      <c r="AA100" s="101">
        <f t="shared" si="158"/>
        <v>1.6999999999999997</v>
      </c>
      <c r="AB100" s="46" t="str">
        <f t="shared" si="160"/>
        <v>REG</v>
      </c>
    </row>
    <row r="101" spans="1:28" ht="39.950000000000003" customHeight="1" x14ac:dyDescent="0.5">
      <c r="A101" s="44" t="str">
        <f t="shared" ref="A101:C102" si="161">A99</f>
        <v>Killer Barbies</v>
      </c>
      <c r="B101" s="44">
        <f t="shared" si="161"/>
        <v>2</v>
      </c>
      <c r="C101" s="44">
        <f t="shared" si="161"/>
        <v>1</v>
      </c>
      <c r="D101" s="86" t="s">
        <v>51</v>
      </c>
      <c r="E101" s="102">
        <v>1</v>
      </c>
      <c r="F101" s="102">
        <v>2</v>
      </c>
      <c r="G101" s="102">
        <v>0</v>
      </c>
      <c r="H101" s="102">
        <v>2</v>
      </c>
      <c r="I101" s="102">
        <f t="shared" si="150"/>
        <v>1</v>
      </c>
      <c r="J101" s="102">
        <f t="shared" si="150"/>
        <v>4</v>
      </c>
      <c r="K101" s="102">
        <v>1</v>
      </c>
      <c r="L101" s="102">
        <v>2</v>
      </c>
      <c r="M101" s="102">
        <v>2</v>
      </c>
      <c r="N101" s="102">
        <v>5</v>
      </c>
      <c r="O101" s="102">
        <f t="shared" si="151"/>
        <v>3</v>
      </c>
      <c r="P101" s="102">
        <f t="shared" si="152"/>
        <v>7</v>
      </c>
      <c r="Q101" s="102">
        <v>0</v>
      </c>
      <c r="R101" s="102">
        <v>0</v>
      </c>
      <c r="S101" s="102">
        <v>1</v>
      </c>
      <c r="T101" s="102">
        <v>2</v>
      </c>
      <c r="U101" s="102">
        <v>1</v>
      </c>
      <c r="V101" s="103">
        <f t="shared" si="153"/>
        <v>0.25</v>
      </c>
      <c r="W101" s="103">
        <f t="shared" si="154"/>
        <v>0.30737704918032788</v>
      </c>
      <c r="X101" s="103">
        <f t="shared" si="155"/>
        <v>0.5</v>
      </c>
      <c r="Y101" s="103">
        <f t="shared" si="156"/>
        <v>0.5</v>
      </c>
      <c r="Z101" s="103">
        <f t="shared" si="157"/>
        <v>0</v>
      </c>
      <c r="AA101" s="104">
        <f t="shared" si="158"/>
        <v>1.6999999999999997</v>
      </c>
      <c r="AB101" s="46" t="str">
        <f>AB100</f>
        <v>REG</v>
      </c>
    </row>
    <row r="102" spans="1:28" ht="39.950000000000003" customHeight="1" x14ac:dyDescent="0.5">
      <c r="A102" s="44" t="str">
        <f t="shared" si="161"/>
        <v>Killer Barbies</v>
      </c>
      <c r="B102" s="44">
        <f t="shared" si="161"/>
        <v>2</v>
      </c>
      <c r="C102" s="44">
        <f t="shared" si="161"/>
        <v>1</v>
      </c>
      <c r="D102" s="86" t="s">
        <v>32</v>
      </c>
      <c r="E102" s="105">
        <f>SUM(E96:E101)</f>
        <v>13</v>
      </c>
      <c r="F102" s="105">
        <f t="shared" ref="F102:U102" si="162">SUM(F96:F101)</f>
        <v>31</v>
      </c>
      <c r="G102" s="105">
        <f t="shared" si="162"/>
        <v>6</v>
      </c>
      <c r="H102" s="105">
        <f t="shared" si="162"/>
        <v>23</v>
      </c>
      <c r="I102" s="105">
        <f t="shared" si="162"/>
        <v>19</v>
      </c>
      <c r="J102" s="105">
        <f t="shared" si="162"/>
        <v>54</v>
      </c>
      <c r="K102" s="105">
        <f t="shared" si="162"/>
        <v>6</v>
      </c>
      <c r="L102" s="105">
        <f t="shared" si="162"/>
        <v>14</v>
      </c>
      <c r="M102" s="105">
        <f t="shared" si="162"/>
        <v>9</v>
      </c>
      <c r="N102" s="105">
        <f t="shared" si="162"/>
        <v>25</v>
      </c>
      <c r="O102" s="105">
        <f t="shared" si="162"/>
        <v>50</v>
      </c>
      <c r="P102" s="105">
        <f t="shared" si="162"/>
        <v>34</v>
      </c>
      <c r="Q102" s="105">
        <f t="shared" si="162"/>
        <v>13</v>
      </c>
      <c r="R102" s="105">
        <f t="shared" si="162"/>
        <v>4</v>
      </c>
      <c r="S102" s="105">
        <f t="shared" si="162"/>
        <v>6</v>
      </c>
      <c r="T102" s="105">
        <f t="shared" si="162"/>
        <v>7</v>
      </c>
      <c r="U102" s="105">
        <f t="shared" si="162"/>
        <v>8</v>
      </c>
      <c r="V102" s="106">
        <f t="shared" si="153"/>
        <v>0.35185185185185186</v>
      </c>
      <c r="W102" s="106">
        <f t="shared" si="154"/>
        <v>0.41555851063829791</v>
      </c>
      <c r="X102" s="106">
        <f t="shared" si="155"/>
        <v>0.42857142857142855</v>
      </c>
      <c r="Y102" s="106">
        <f t="shared" si="156"/>
        <v>0.41935483870967744</v>
      </c>
      <c r="Z102" s="106">
        <f t="shared" si="157"/>
        <v>0.2608695652173913</v>
      </c>
      <c r="AA102" s="107">
        <f>AVERAGE(AA96:AA101)</f>
        <v>6.3500000000000005</v>
      </c>
      <c r="AB102" s="46" t="str">
        <f>AB101</f>
        <v>REG</v>
      </c>
    </row>
    <row r="103" spans="1:28" ht="39.950000000000003" customHeight="1" x14ac:dyDescent="0.55000000000000004">
      <c r="A103" s="44" t="s">
        <v>33</v>
      </c>
      <c r="B103" s="44">
        <f t="shared" ref="B103:C103" si="163">B102</f>
        <v>2</v>
      </c>
      <c r="C103" s="44">
        <f t="shared" si="163"/>
        <v>1</v>
      </c>
      <c r="D103" s="82" t="s">
        <v>56</v>
      </c>
      <c r="E103" s="83"/>
      <c r="F103" s="83"/>
      <c r="G103" s="83"/>
      <c r="H103" s="83"/>
      <c r="I103" s="83"/>
      <c r="J103" s="83"/>
      <c r="K103" s="83"/>
      <c r="L103" s="83"/>
      <c r="M103" s="83"/>
      <c r="N103" s="83"/>
      <c r="O103" s="83">
        <v>46</v>
      </c>
      <c r="P103" s="83"/>
      <c r="Q103" s="83"/>
      <c r="R103" s="83"/>
      <c r="S103" s="83"/>
      <c r="T103" s="83"/>
      <c r="U103" s="83"/>
      <c r="V103" s="83"/>
      <c r="W103" s="83"/>
      <c r="X103" s="83"/>
      <c r="Y103" s="83"/>
      <c r="Z103" s="83"/>
      <c r="AA103" s="83"/>
      <c r="AB103" s="46" t="str">
        <f t="shared" si="160"/>
        <v>REG</v>
      </c>
    </row>
    <row r="104" spans="1:28" ht="39.950000000000003" customHeight="1" x14ac:dyDescent="0.5">
      <c r="A104" s="44" t="str">
        <f>D112</f>
        <v>Sister In-Laws</v>
      </c>
      <c r="B104" s="44">
        <v>2</v>
      </c>
      <c r="C104" s="44">
        <v>2</v>
      </c>
      <c r="D104" s="86" t="s">
        <v>36</v>
      </c>
      <c r="E104" s="87">
        <v>3</v>
      </c>
      <c r="F104" s="87">
        <v>5</v>
      </c>
      <c r="G104" s="87">
        <v>1</v>
      </c>
      <c r="H104" s="87">
        <v>3</v>
      </c>
      <c r="I104" s="87">
        <f>E104+G104</f>
        <v>4</v>
      </c>
      <c r="J104" s="87">
        <f>F104+H104</f>
        <v>8</v>
      </c>
      <c r="K104" s="87">
        <v>3</v>
      </c>
      <c r="L104" s="87">
        <v>6</v>
      </c>
      <c r="M104" s="87">
        <v>5</v>
      </c>
      <c r="N104" s="87">
        <v>0</v>
      </c>
      <c r="O104" s="87">
        <f>E104*2+G104*3+K104</f>
        <v>12</v>
      </c>
      <c r="P104" s="87">
        <f>M104+N104</f>
        <v>5</v>
      </c>
      <c r="Q104" s="87">
        <v>4</v>
      </c>
      <c r="R104" s="87">
        <v>0</v>
      </c>
      <c r="S104" s="87">
        <v>2</v>
      </c>
      <c r="T104" s="87">
        <v>1</v>
      </c>
      <c r="U104" s="87">
        <v>0</v>
      </c>
      <c r="V104" s="88">
        <f>IFERROR(I104/J104,0)</f>
        <v>0.5</v>
      </c>
      <c r="W104" s="88">
        <f>IFERROR(O104/(2*(J104+0.44*L104)), 0)</f>
        <v>0.56390977443609025</v>
      </c>
      <c r="X104" s="88">
        <f>IFERROR(K104/L104,0)</f>
        <v>0.5</v>
      </c>
      <c r="Y104" s="88">
        <f>IFERROR(E104/F104,0)</f>
        <v>0.6</v>
      </c>
      <c r="Z104" s="88">
        <f>IFERROR(G104/H104,0)</f>
        <v>0.33333333333333331</v>
      </c>
      <c r="AA104" s="89">
        <f>(O104)+(0.4*I104)-(0.7*J104)-(0.4*(L104-K104))+(0.7*M104)+(0.3*N104)+S104+(0.7*Q104)+(0.7*R104)-(0.4*U104)-T104</f>
        <v>14.100000000000001</v>
      </c>
      <c r="AB104" s="167" t="s">
        <v>27</v>
      </c>
    </row>
    <row r="105" spans="1:28" ht="39.950000000000003" customHeight="1" x14ac:dyDescent="0.5">
      <c r="A105" s="44" t="str">
        <f>A104</f>
        <v>Sister In-Laws</v>
      </c>
      <c r="B105" s="44">
        <f>B104</f>
        <v>2</v>
      </c>
      <c r="C105" s="44">
        <f>C104</f>
        <v>2</v>
      </c>
      <c r="D105" s="86" t="s">
        <v>28</v>
      </c>
      <c r="E105" s="90">
        <v>1</v>
      </c>
      <c r="F105" s="90">
        <v>2</v>
      </c>
      <c r="G105" s="90">
        <v>3</v>
      </c>
      <c r="H105" s="90">
        <v>9</v>
      </c>
      <c r="I105" s="90">
        <f t="shared" ref="I105:J110" si="164">E105+G105</f>
        <v>4</v>
      </c>
      <c r="J105" s="90">
        <f t="shared" si="164"/>
        <v>11</v>
      </c>
      <c r="K105" s="90">
        <v>2</v>
      </c>
      <c r="L105" s="90">
        <v>5</v>
      </c>
      <c r="M105" s="90">
        <v>2</v>
      </c>
      <c r="N105" s="90">
        <v>2</v>
      </c>
      <c r="O105" s="90">
        <f t="shared" ref="O105:O110" si="165">E105*2+G105*3+K105</f>
        <v>13</v>
      </c>
      <c r="P105" s="90">
        <f t="shared" ref="P105:P110" si="166">M105+N105</f>
        <v>4</v>
      </c>
      <c r="Q105" s="90">
        <v>3</v>
      </c>
      <c r="R105" s="90">
        <v>0</v>
      </c>
      <c r="S105" s="90">
        <v>0</v>
      </c>
      <c r="T105" s="90">
        <v>1</v>
      </c>
      <c r="U105" s="90">
        <v>0</v>
      </c>
      <c r="V105" s="91">
        <f t="shared" ref="V105:V111" si="167">IFERROR(I105/J105,0)</f>
        <v>0.36363636363636365</v>
      </c>
      <c r="W105" s="91">
        <f t="shared" ref="W105:W111" si="168">IFERROR(O105/(2*(J105+0.44*L105)), 0)</f>
        <v>0.49242424242424243</v>
      </c>
      <c r="X105" s="91">
        <f t="shared" ref="X105:X111" si="169">IFERROR(K105/L105,0)</f>
        <v>0.4</v>
      </c>
      <c r="Y105" s="91">
        <f t="shared" ref="Y105:Y111" si="170">IFERROR(E105/F105,0)</f>
        <v>0.5</v>
      </c>
      <c r="Z105" s="91">
        <f t="shared" ref="Z105:Z111" si="171">IFERROR(G105/H105,0)</f>
        <v>0.33333333333333331</v>
      </c>
      <c r="AA105" s="92">
        <f t="shared" ref="AA105:AA110" si="172">(O105)+(0.4*I105)-(0.7*J105)-(0.4*(L105-K105))+(0.7*M105)+(0.3*N105)+S105+(0.7*Q105)+(0.7*R105)-(0.4*U105)-T105</f>
        <v>8.7999999999999989</v>
      </c>
      <c r="AB105" s="46" t="str">
        <f>AB104</f>
        <v>REG</v>
      </c>
    </row>
    <row r="106" spans="1:28" ht="39.950000000000003" customHeight="1" x14ac:dyDescent="0.5">
      <c r="A106" s="44" t="str">
        <f t="shared" ref="A106:C108" si="173">A105</f>
        <v>Sister In-Laws</v>
      </c>
      <c r="B106" s="44">
        <f t="shared" si="173"/>
        <v>2</v>
      </c>
      <c r="C106" s="44">
        <f t="shared" si="173"/>
        <v>2</v>
      </c>
      <c r="D106" s="86" t="s">
        <v>29</v>
      </c>
      <c r="E106" s="93">
        <v>1</v>
      </c>
      <c r="F106" s="93">
        <v>1</v>
      </c>
      <c r="G106" s="93">
        <v>0</v>
      </c>
      <c r="H106" s="93">
        <v>1</v>
      </c>
      <c r="I106" s="93">
        <f t="shared" si="164"/>
        <v>1</v>
      </c>
      <c r="J106" s="93">
        <f t="shared" si="164"/>
        <v>2</v>
      </c>
      <c r="K106" s="93">
        <v>0</v>
      </c>
      <c r="L106" s="93">
        <v>0</v>
      </c>
      <c r="M106" s="93">
        <v>2</v>
      </c>
      <c r="N106" s="93">
        <v>3</v>
      </c>
      <c r="O106" s="93">
        <f t="shared" si="165"/>
        <v>2</v>
      </c>
      <c r="P106" s="93">
        <f t="shared" si="166"/>
        <v>5</v>
      </c>
      <c r="Q106" s="93">
        <v>1</v>
      </c>
      <c r="R106" s="93">
        <v>0</v>
      </c>
      <c r="S106" s="93">
        <v>0</v>
      </c>
      <c r="T106" s="93">
        <v>0</v>
      </c>
      <c r="U106" s="93">
        <v>1</v>
      </c>
      <c r="V106" s="94">
        <f t="shared" si="167"/>
        <v>0.5</v>
      </c>
      <c r="W106" s="94">
        <f t="shared" si="168"/>
        <v>0.5</v>
      </c>
      <c r="X106" s="94">
        <f t="shared" si="169"/>
        <v>0</v>
      </c>
      <c r="Y106" s="94">
        <f t="shared" si="170"/>
        <v>1</v>
      </c>
      <c r="Z106" s="94">
        <f t="shared" si="171"/>
        <v>0</v>
      </c>
      <c r="AA106" s="95">
        <f t="shared" si="172"/>
        <v>3.6</v>
      </c>
      <c r="AB106" s="46" t="str">
        <f t="shared" ref="AB106:AB108" si="174">AB105</f>
        <v>REG</v>
      </c>
    </row>
    <row r="107" spans="1:28" ht="39.950000000000003" customHeight="1" x14ac:dyDescent="0.5">
      <c r="A107" s="44" t="str">
        <f t="shared" si="173"/>
        <v>Sister In-Laws</v>
      </c>
      <c r="B107" s="44">
        <f t="shared" si="173"/>
        <v>2</v>
      </c>
      <c r="C107" s="44">
        <f t="shared" si="173"/>
        <v>2</v>
      </c>
      <c r="D107" s="86" t="s">
        <v>30</v>
      </c>
      <c r="E107" s="96">
        <v>9</v>
      </c>
      <c r="F107" s="96">
        <v>13</v>
      </c>
      <c r="G107" s="96">
        <v>1</v>
      </c>
      <c r="H107" s="96">
        <v>5</v>
      </c>
      <c r="I107" s="96">
        <f t="shared" si="164"/>
        <v>10</v>
      </c>
      <c r="J107" s="96">
        <f t="shared" si="164"/>
        <v>18</v>
      </c>
      <c r="K107" s="96">
        <v>1</v>
      </c>
      <c r="L107" s="96">
        <v>1</v>
      </c>
      <c r="M107" s="96">
        <v>1</v>
      </c>
      <c r="N107" s="96">
        <v>2</v>
      </c>
      <c r="O107" s="96">
        <f t="shared" si="165"/>
        <v>22</v>
      </c>
      <c r="P107" s="96">
        <f t="shared" si="166"/>
        <v>3</v>
      </c>
      <c r="Q107" s="96">
        <v>1</v>
      </c>
      <c r="R107" s="96">
        <v>0</v>
      </c>
      <c r="S107" s="96">
        <v>6</v>
      </c>
      <c r="T107" s="96">
        <v>1</v>
      </c>
      <c r="U107" s="96">
        <v>0</v>
      </c>
      <c r="V107" s="97">
        <f t="shared" si="167"/>
        <v>0.55555555555555558</v>
      </c>
      <c r="W107" s="97">
        <f t="shared" si="168"/>
        <v>0.59652928416485895</v>
      </c>
      <c r="X107" s="97">
        <f t="shared" si="169"/>
        <v>1</v>
      </c>
      <c r="Y107" s="97">
        <f t="shared" si="170"/>
        <v>0.69230769230769229</v>
      </c>
      <c r="Z107" s="97">
        <f t="shared" si="171"/>
        <v>0.2</v>
      </c>
      <c r="AA107" s="98">
        <f t="shared" si="172"/>
        <v>20.399999999999999</v>
      </c>
      <c r="AB107" s="46" t="str">
        <f t="shared" si="174"/>
        <v>REG</v>
      </c>
    </row>
    <row r="108" spans="1:28" ht="39.950000000000003" customHeight="1" x14ac:dyDescent="0.5">
      <c r="A108" s="44" t="str">
        <f t="shared" si="173"/>
        <v>Sister In-Laws</v>
      </c>
      <c r="B108" s="44">
        <f t="shared" si="173"/>
        <v>2</v>
      </c>
      <c r="C108" s="44">
        <f t="shared" si="173"/>
        <v>2</v>
      </c>
      <c r="D108" s="86" t="s">
        <v>45</v>
      </c>
      <c r="E108" s="99">
        <v>4</v>
      </c>
      <c r="F108" s="99">
        <v>11</v>
      </c>
      <c r="G108" s="99">
        <v>0</v>
      </c>
      <c r="H108" s="99">
        <v>2</v>
      </c>
      <c r="I108" s="99">
        <f t="shared" si="164"/>
        <v>4</v>
      </c>
      <c r="J108" s="99">
        <f t="shared" si="164"/>
        <v>13</v>
      </c>
      <c r="K108" s="99">
        <v>0</v>
      </c>
      <c r="L108" s="99">
        <v>1</v>
      </c>
      <c r="M108" s="99">
        <v>4</v>
      </c>
      <c r="N108" s="99">
        <v>7</v>
      </c>
      <c r="O108" s="99">
        <f t="shared" si="165"/>
        <v>8</v>
      </c>
      <c r="P108" s="99">
        <f t="shared" si="166"/>
        <v>11</v>
      </c>
      <c r="Q108" s="99">
        <v>5</v>
      </c>
      <c r="R108" s="99">
        <v>0</v>
      </c>
      <c r="S108" s="99">
        <v>1</v>
      </c>
      <c r="T108" s="99">
        <v>3</v>
      </c>
      <c r="U108" s="99">
        <v>1</v>
      </c>
      <c r="V108" s="100">
        <f t="shared" si="167"/>
        <v>0.30769230769230771</v>
      </c>
      <c r="W108" s="100">
        <f t="shared" si="168"/>
        <v>0.29761904761904762</v>
      </c>
      <c r="X108" s="100">
        <f t="shared" si="169"/>
        <v>0</v>
      </c>
      <c r="Y108" s="100">
        <f t="shared" si="170"/>
        <v>0.36363636363636365</v>
      </c>
      <c r="Z108" s="100">
        <f t="shared" si="171"/>
        <v>0</v>
      </c>
      <c r="AA108" s="101">
        <f t="shared" si="172"/>
        <v>6.1</v>
      </c>
      <c r="AB108" s="46" t="str">
        <f t="shared" si="174"/>
        <v>REG</v>
      </c>
    </row>
    <row r="109" spans="1:28" ht="39.950000000000003" customHeight="1" x14ac:dyDescent="0.5">
      <c r="A109" s="44" t="str">
        <f t="shared" ref="A109:C109" si="175">A107</f>
        <v>Sister In-Laws</v>
      </c>
      <c r="B109" s="44">
        <f t="shared" si="175"/>
        <v>2</v>
      </c>
      <c r="C109" s="44">
        <f t="shared" si="175"/>
        <v>2</v>
      </c>
      <c r="D109" s="86" t="s">
        <v>51</v>
      </c>
      <c r="E109" s="102">
        <v>6</v>
      </c>
      <c r="F109" s="102">
        <v>8</v>
      </c>
      <c r="G109" s="102">
        <v>2</v>
      </c>
      <c r="H109" s="102">
        <v>6</v>
      </c>
      <c r="I109" s="102">
        <f t="shared" si="164"/>
        <v>8</v>
      </c>
      <c r="J109" s="102">
        <f t="shared" si="164"/>
        <v>14</v>
      </c>
      <c r="K109" s="102">
        <v>0</v>
      </c>
      <c r="L109" s="102">
        <v>0</v>
      </c>
      <c r="M109" s="102">
        <v>2</v>
      </c>
      <c r="N109" s="102">
        <v>6</v>
      </c>
      <c r="O109" s="102">
        <f t="shared" si="165"/>
        <v>18</v>
      </c>
      <c r="P109" s="102">
        <f t="shared" si="166"/>
        <v>8</v>
      </c>
      <c r="Q109" s="102">
        <v>3</v>
      </c>
      <c r="R109" s="102">
        <v>1</v>
      </c>
      <c r="S109" s="102">
        <v>0</v>
      </c>
      <c r="T109" s="102">
        <v>1</v>
      </c>
      <c r="U109" s="102">
        <v>0</v>
      </c>
      <c r="V109" s="103">
        <f t="shared" si="167"/>
        <v>0.5714285714285714</v>
      </c>
      <c r="W109" s="103">
        <f t="shared" si="168"/>
        <v>0.6428571428571429</v>
      </c>
      <c r="X109" s="103">
        <f t="shared" si="169"/>
        <v>0</v>
      </c>
      <c r="Y109" s="103">
        <f t="shared" si="170"/>
        <v>0.75</v>
      </c>
      <c r="Z109" s="103">
        <f t="shared" si="171"/>
        <v>0.33333333333333331</v>
      </c>
      <c r="AA109" s="104">
        <f t="shared" si="172"/>
        <v>16.400000000000002</v>
      </c>
      <c r="AB109" s="46" t="str">
        <f>AB108</f>
        <v>REG</v>
      </c>
    </row>
    <row r="110" spans="1:28" ht="39.950000000000003" customHeight="1" x14ac:dyDescent="0.5">
      <c r="A110" s="44" t="str">
        <f>A109</f>
        <v>Sister In-Laws</v>
      </c>
      <c r="B110" s="44">
        <f t="shared" ref="B110:C110" si="176">B109</f>
        <v>2</v>
      </c>
      <c r="C110" s="44">
        <f t="shared" si="176"/>
        <v>2</v>
      </c>
      <c r="D110" s="86" t="s">
        <v>41</v>
      </c>
      <c r="E110" s="163">
        <v>0</v>
      </c>
      <c r="F110" s="163">
        <v>1</v>
      </c>
      <c r="G110" s="163">
        <v>1</v>
      </c>
      <c r="H110" s="163">
        <v>4</v>
      </c>
      <c r="I110" s="163">
        <f t="shared" si="164"/>
        <v>1</v>
      </c>
      <c r="J110" s="163">
        <f t="shared" si="164"/>
        <v>5</v>
      </c>
      <c r="K110" s="163">
        <v>0</v>
      </c>
      <c r="L110" s="163">
        <v>0</v>
      </c>
      <c r="M110" s="163">
        <v>0</v>
      </c>
      <c r="N110" s="163">
        <v>0</v>
      </c>
      <c r="O110" s="163">
        <f t="shared" si="165"/>
        <v>3</v>
      </c>
      <c r="P110" s="163">
        <f t="shared" si="166"/>
        <v>0</v>
      </c>
      <c r="Q110" s="163">
        <v>0</v>
      </c>
      <c r="R110" s="163">
        <v>0</v>
      </c>
      <c r="S110" s="163">
        <v>1</v>
      </c>
      <c r="T110" s="163">
        <v>0</v>
      </c>
      <c r="U110" s="163">
        <v>0</v>
      </c>
      <c r="V110" s="164">
        <f t="shared" si="167"/>
        <v>0.2</v>
      </c>
      <c r="W110" s="164">
        <f t="shared" si="168"/>
        <v>0.3</v>
      </c>
      <c r="X110" s="164">
        <f t="shared" si="169"/>
        <v>0</v>
      </c>
      <c r="Y110" s="164">
        <f t="shared" si="170"/>
        <v>0</v>
      </c>
      <c r="Z110" s="164">
        <f t="shared" si="171"/>
        <v>0.25</v>
      </c>
      <c r="AA110" s="165">
        <f t="shared" si="172"/>
        <v>0.89999999999999991</v>
      </c>
      <c r="AB110" s="46" t="str">
        <f>AB109</f>
        <v>REG</v>
      </c>
    </row>
    <row r="111" spans="1:28" ht="39.950000000000003" customHeight="1" x14ac:dyDescent="0.5">
      <c r="A111" s="44" t="str">
        <f>A108</f>
        <v>Sister In-Laws</v>
      </c>
      <c r="B111" s="44">
        <f>B108</f>
        <v>2</v>
      </c>
      <c r="C111" s="44">
        <f>C108</f>
        <v>2</v>
      </c>
      <c r="D111" s="86" t="s">
        <v>32</v>
      </c>
      <c r="E111" s="105">
        <f>SUM(E104:E110)</f>
        <v>24</v>
      </c>
      <c r="F111" s="105">
        <f t="shared" ref="F111:U111" si="177">SUM(F104:F110)</f>
        <v>41</v>
      </c>
      <c r="G111" s="105">
        <f t="shared" si="177"/>
        <v>8</v>
      </c>
      <c r="H111" s="105">
        <f t="shared" si="177"/>
        <v>30</v>
      </c>
      <c r="I111" s="105">
        <f t="shared" si="177"/>
        <v>32</v>
      </c>
      <c r="J111" s="105">
        <f t="shared" si="177"/>
        <v>71</v>
      </c>
      <c r="K111" s="105">
        <f t="shared" si="177"/>
        <v>6</v>
      </c>
      <c r="L111" s="105">
        <f t="shared" si="177"/>
        <v>13</v>
      </c>
      <c r="M111" s="105">
        <f t="shared" si="177"/>
        <v>16</v>
      </c>
      <c r="N111" s="105">
        <f t="shared" si="177"/>
        <v>20</v>
      </c>
      <c r="O111" s="105">
        <f t="shared" si="177"/>
        <v>78</v>
      </c>
      <c r="P111" s="105">
        <f t="shared" si="177"/>
        <v>36</v>
      </c>
      <c r="Q111" s="105">
        <f t="shared" si="177"/>
        <v>17</v>
      </c>
      <c r="R111" s="105">
        <f t="shared" si="177"/>
        <v>1</v>
      </c>
      <c r="S111" s="105">
        <f t="shared" si="177"/>
        <v>10</v>
      </c>
      <c r="T111" s="105">
        <f t="shared" si="177"/>
        <v>7</v>
      </c>
      <c r="U111" s="105">
        <f t="shared" si="177"/>
        <v>2</v>
      </c>
      <c r="V111" s="106">
        <f t="shared" si="167"/>
        <v>0.45070422535211269</v>
      </c>
      <c r="W111" s="106">
        <f t="shared" si="168"/>
        <v>0.50834202294056308</v>
      </c>
      <c r="X111" s="106">
        <f t="shared" si="169"/>
        <v>0.46153846153846156</v>
      </c>
      <c r="Y111" s="106">
        <f t="shared" si="170"/>
        <v>0.58536585365853655</v>
      </c>
      <c r="Z111" s="106">
        <f t="shared" si="171"/>
        <v>0.26666666666666666</v>
      </c>
      <c r="AA111" s="107">
        <f>AVERAGE(AA104:AA110)</f>
        <v>10.042857142857144</v>
      </c>
      <c r="AB111" s="46" t="str">
        <f>AB109</f>
        <v>REG</v>
      </c>
    </row>
    <row r="112" spans="1:28" ht="39.950000000000003" customHeight="1" x14ac:dyDescent="0.55000000000000004">
      <c r="A112" s="44" t="s">
        <v>33</v>
      </c>
      <c r="B112" s="44">
        <f t="shared" ref="B112:C112" si="178">B111</f>
        <v>2</v>
      </c>
      <c r="C112" s="44">
        <f t="shared" si="178"/>
        <v>2</v>
      </c>
      <c r="D112" s="82" t="s">
        <v>57</v>
      </c>
      <c r="E112" s="83"/>
      <c r="F112" s="83"/>
      <c r="G112" s="83"/>
      <c r="H112" s="83"/>
      <c r="I112" s="83"/>
      <c r="J112" s="83"/>
      <c r="K112" s="83"/>
      <c r="L112" s="83"/>
      <c r="M112" s="83"/>
      <c r="N112" s="83"/>
      <c r="O112" s="83">
        <v>53</v>
      </c>
      <c r="P112" s="83"/>
      <c r="Q112" s="83"/>
      <c r="R112" s="83"/>
      <c r="S112" s="83"/>
      <c r="T112" s="83"/>
      <c r="U112" s="83"/>
      <c r="V112" s="83"/>
      <c r="W112" s="83"/>
      <c r="X112" s="83"/>
      <c r="Y112" s="83"/>
      <c r="Z112" s="83"/>
      <c r="AA112" s="83"/>
      <c r="AB112" s="46" t="str">
        <f>AB111</f>
        <v>REG</v>
      </c>
    </row>
    <row r="113" spans="1:28" ht="39.950000000000003" customHeight="1" x14ac:dyDescent="0.5">
      <c r="A113" s="44" t="str">
        <f>D121</f>
        <v>PRIME TIME</v>
      </c>
      <c r="B113" s="44">
        <v>2</v>
      </c>
      <c r="C113" s="44">
        <v>3</v>
      </c>
      <c r="D113" s="86" t="s">
        <v>36</v>
      </c>
      <c r="E113" s="87">
        <v>3</v>
      </c>
      <c r="F113" s="87">
        <v>8</v>
      </c>
      <c r="G113" s="87">
        <v>0</v>
      </c>
      <c r="H113" s="87">
        <v>0</v>
      </c>
      <c r="I113" s="87">
        <f>E113+G113</f>
        <v>3</v>
      </c>
      <c r="J113" s="87">
        <f>F113+H113</f>
        <v>8</v>
      </c>
      <c r="K113" s="87">
        <v>0</v>
      </c>
      <c r="L113" s="87">
        <v>2</v>
      </c>
      <c r="M113" s="87">
        <v>1</v>
      </c>
      <c r="N113" s="87">
        <v>3</v>
      </c>
      <c r="O113" s="87">
        <f>E113*2+G113*3+K113</f>
        <v>6</v>
      </c>
      <c r="P113" s="87">
        <f>M113+N113</f>
        <v>4</v>
      </c>
      <c r="Q113" s="87">
        <v>1</v>
      </c>
      <c r="R113" s="87">
        <v>1</v>
      </c>
      <c r="S113" s="87">
        <v>2</v>
      </c>
      <c r="T113" s="87">
        <v>1</v>
      </c>
      <c r="U113" s="87">
        <v>1</v>
      </c>
      <c r="V113" s="88">
        <f>IFERROR(I113/J113,0)</f>
        <v>0.375</v>
      </c>
      <c r="W113" s="88">
        <f>IFERROR(O113/(2*(J113+0.44*L113)), 0)</f>
        <v>0.33783783783783783</v>
      </c>
      <c r="X113" s="88">
        <f>IFERROR(K113/L113,0)</f>
        <v>0</v>
      </c>
      <c r="Y113" s="88">
        <f>IFERROR(E113/F113,0)</f>
        <v>0.375</v>
      </c>
      <c r="Z113" s="88">
        <f>IFERROR(G113/H113,0)</f>
        <v>0</v>
      </c>
      <c r="AA113" s="89">
        <f>(O113)+(0.4*I113)-(0.7*J113)-(0.4*(L113-K113))+(0.7*M113)+(0.3*N113)+S113+(0.7*Q113)+(0.7*R113)-(0.4*U113)-T113</f>
        <v>4.4000000000000004</v>
      </c>
      <c r="AB113" s="167" t="s">
        <v>27</v>
      </c>
    </row>
    <row r="114" spans="1:28" ht="39.950000000000003" customHeight="1" x14ac:dyDescent="0.5">
      <c r="A114" s="44" t="str">
        <f>A113</f>
        <v>PRIME TIME</v>
      </c>
      <c r="B114" s="44">
        <f>B113</f>
        <v>2</v>
      </c>
      <c r="C114" s="44">
        <f>C113</f>
        <v>3</v>
      </c>
      <c r="D114" s="86" t="s">
        <v>28</v>
      </c>
      <c r="E114" s="90">
        <v>2</v>
      </c>
      <c r="F114" s="90">
        <v>6</v>
      </c>
      <c r="G114" s="90">
        <v>2</v>
      </c>
      <c r="H114" s="90">
        <v>4</v>
      </c>
      <c r="I114" s="90">
        <f t="shared" ref="I114:J119" si="179">E114+G114</f>
        <v>4</v>
      </c>
      <c r="J114" s="90">
        <f t="shared" si="179"/>
        <v>10</v>
      </c>
      <c r="K114" s="90">
        <v>0</v>
      </c>
      <c r="L114" s="90">
        <v>0</v>
      </c>
      <c r="M114" s="90">
        <v>1</v>
      </c>
      <c r="N114" s="90">
        <v>2</v>
      </c>
      <c r="O114" s="90">
        <f t="shared" ref="O114:O119" si="180">E114*2+G114*3+K114</f>
        <v>10</v>
      </c>
      <c r="P114" s="90">
        <f t="shared" ref="P114:P119" si="181">M114+N114</f>
        <v>3</v>
      </c>
      <c r="Q114" s="90">
        <v>2</v>
      </c>
      <c r="R114" s="90">
        <v>0</v>
      </c>
      <c r="S114" s="90">
        <v>2</v>
      </c>
      <c r="T114" s="90">
        <v>0</v>
      </c>
      <c r="U114" s="90">
        <v>1</v>
      </c>
      <c r="V114" s="91">
        <f t="shared" ref="V114:V120" si="182">IFERROR(I114/J114,0)</f>
        <v>0.4</v>
      </c>
      <c r="W114" s="91">
        <f t="shared" ref="W114:W120" si="183">IFERROR(O114/(2*(J114+0.44*L114)), 0)</f>
        <v>0.5</v>
      </c>
      <c r="X114" s="91">
        <f t="shared" ref="X114:X120" si="184">IFERROR(K114/L114,0)</f>
        <v>0</v>
      </c>
      <c r="Y114" s="91">
        <f t="shared" ref="Y114:Y120" si="185">IFERROR(E114/F114,0)</f>
        <v>0.33333333333333331</v>
      </c>
      <c r="Z114" s="91">
        <f t="shared" ref="Z114:Z120" si="186">IFERROR(G114/H114,0)</f>
        <v>0.5</v>
      </c>
      <c r="AA114" s="92">
        <f t="shared" ref="AA114:AA119" si="187">(O114)+(0.4*I114)-(0.7*J114)-(0.4*(L114-K114))+(0.7*M114)+(0.3*N114)+S114+(0.7*Q114)+(0.7*R114)-(0.4*U114)-T114</f>
        <v>8.8999999999999986</v>
      </c>
      <c r="AB114" s="46" t="str">
        <f>AB113</f>
        <v>REG</v>
      </c>
    </row>
    <row r="115" spans="1:28" ht="39.950000000000003" customHeight="1" x14ac:dyDescent="0.5">
      <c r="A115" s="44" t="str">
        <f t="shared" ref="A115:C117" si="188">A114</f>
        <v>PRIME TIME</v>
      </c>
      <c r="B115" s="44">
        <f t="shared" si="188"/>
        <v>2</v>
      </c>
      <c r="C115" s="44">
        <f t="shared" si="188"/>
        <v>3</v>
      </c>
      <c r="D115" s="86" t="s">
        <v>29</v>
      </c>
      <c r="E115" s="93">
        <v>0</v>
      </c>
      <c r="F115" s="93">
        <v>0</v>
      </c>
      <c r="G115" s="93">
        <v>0</v>
      </c>
      <c r="H115" s="93">
        <v>3</v>
      </c>
      <c r="I115" s="93">
        <f t="shared" si="179"/>
        <v>0</v>
      </c>
      <c r="J115" s="93">
        <f t="shared" si="179"/>
        <v>3</v>
      </c>
      <c r="K115" s="93">
        <v>0</v>
      </c>
      <c r="L115" s="93">
        <v>0</v>
      </c>
      <c r="M115" s="93">
        <v>0</v>
      </c>
      <c r="N115" s="93">
        <v>1</v>
      </c>
      <c r="O115" s="93">
        <f t="shared" si="180"/>
        <v>0</v>
      </c>
      <c r="P115" s="93">
        <f t="shared" si="181"/>
        <v>1</v>
      </c>
      <c r="Q115" s="93">
        <v>1</v>
      </c>
      <c r="R115" s="93">
        <v>0</v>
      </c>
      <c r="S115" s="93">
        <v>2</v>
      </c>
      <c r="T115" s="93">
        <v>1</v>
      </c>
      <c r="U115" s="93">
        <v>0</v>
      </c>
      <c r="V115" s="94">
        <f t="shared" si="182"/>
        <v>0</v>
      </c>
      <c r="W115" s="94">
        <f t="shared" si="183"/>
        <v>0</v>
      </c>
      <c r="X115" s="94">
        <f t="shared" si="184"/>
        <v>0</v>
      </c>
      <c r="Y115" s="94">
        <f t="shared" si="185"/>
        <v>0</v>
      </c>
      <c r="Z115" s="94">
        <f t="shared" si="186"/>
        <v>0</v>
      </c>
      <c r="AA115" s="95">
        <f t="shared" si="187"/>
        <v>-9.9999999999999645E-2</v>
      </c>
      <c r="AB115" s="46" t="str">
        <f t="shared" ref="AB115:AB117" si="189">AB114</f>
        <v>REG</v>
      </c>
    </row>
    <row r="116" spans="1:28" ht="39.950000000000003" customHeight="1" x14ac:dyDescent="0.5">
      <c r="A116" s="44" t="str">
        <f t="shared" si="188"/>
        <v>PRIME TIME</v>
      </c>
      <c r="B116" s="44">
        <f t="shared" si="188"/>
        <v>2</v>
      </c>
      <c r="C116" s="44">
        <f t="shared" si="188"/>
        <v>3</v>
      </c>
      <c r="D116" s="86" t="s">
        <v>30</v>
      </c>
      <c r="E116" s="96">
        <v>3</v>
      </c>
      <c r="F116" s="96">
        <v>6</v>
      </c>
      <c r="G116" s="96">
        <v>2</v>
      </c>
      <c r="H116" s="96">
        <v>4</v>
      </c>
      <c r="I116" s="96">
        <f t="shared" si="179"/>
        <v>5</v>
      </c>
      <c r="J116" s="96">
        <f t="shared" si="179"/>
        <v>10</v>
      </c>
      <c r="K116" s="96">
        <v>1</v>
      </c>
      <c r="L116" s="96">
        <v>1</v>
      </c>
      <c r="M116" s="96">
        <v>0</v>
      </c>
      <c r="N116" s="96">
        <v>3</v>
      </c>
      <c r="O116" s="96">
        <f t="shared" si="180"/>
        <v>13</v>
      </c>
      <c r="P116" s="96">
        <f t="shared" si="181"/>
        <v>3</v>
      </c>
      <c r="Q116" s="96">
        <v>2</v>
      </c>
      <c r="R116" s="96">
        <v>0</v>
      </c>
      <c r="S116" s="96">
        <v>2</v>
      </c>
      <c r="T116" s="96">
        <v>1</v>
      </c>
      <c r="U116" s="96">
        <v>0</v>
      </c>
      <c r="V116" s="97">
        <f t="shared" si="182"/>
        <v>0.5</v>
      </c>
      <c r="W116" s="97">
        <f t="shared" si="183"/>
        <v>0.62260536398467436</v>
      </c>
      <c r="X116" s="97">
        <f t="shared" si="184"/>
        <v>1</v>
      </c>
      <c r="Y116" s="97">
        <f t="shared" si="185"/>
        <v>0.5</v>
      </c>
      <c r="Z116" s="97">
        <f t="shared" si="186"/>
        <v>0.5</v>
      </c>
      <c r="AA116" s="98">
        <f t="shared" si="187"/>
        <v>11.3</v>
      </c>
      <c r="AB116" s="46" t="str">
        <f t="shared" si="189"/>
        <v>REG</v>
      </c>
    </row>
    <row r="117" spans="1:28" ht="39.950000000000003" customHeight="1" x14ac:dyDescent="0.5">
      <c r="A117" s="44" t="str">
        <f t="shared" si="188"/>
        <v>PRIME TIME</v>
      </c>
      <c r="B117" s="44">
        <f t="shared" si="188"/>
        <v>2</v>
      </c>
      <c r="C117" s="44">
        <f t="shared" si="188"/>
        <v>3</v>
      </c>
      <c r="D117" s="86" t="s">
        <v>45</v>
      </c>
      <c r="E117" s="99">
        <v>6</v>
      </c>
      <c r="F117" s="99">
        <v>9</v>
      </c>
      <c r="G117" s="99">
        <v>1</v>
      </c>
      <c r="H117" s="99">
        <v>3</v>
      </c>
      <c r="I117" s="99">
        <f t="shared" si="179"/>
        <v>7</v>
      </c>
      <c r="J117" s="99">
        <f t="shared" si="179"/>
        <v>12</v>
      </c>
      <c r="K117" s="99">
        <v>3</v>
      </c>
      <c r="L117" s="99">
        <v>3</v>
      </c>
      <c r="M117" s="99">
        <v>3</v>
      </c>
      <c r="N117" s="99">
        <v>6</v>
      </c>
      <c r="O117" s="99">
        <f t="shared" si="180"/>
        <v>18</v>
      </c>
      <c r="P117" s="99">
        <f t="shared" si="181"/>
        <v>9</v>
      </c>
      <c r="Q117" s="99">
        <v>1</v>
      </c>
      <c r="R117" s="99">
        <v>0</v>
      </c>
      <c r="S117" s="99">
        <v>1</v>
      </c>
      <c r="T117" s="99">
        <v>2</v>
      </c>
      <c r="U117" s="99">
        <v>1</v>
      </c>
      <c r="V117" s="100">
        <f t="shared" si="182"/>
        <v>0.58333333333333337</v>
      </c>
      <c r="W117" s="100">
        <f t="shared" si="183"/>
        <v>0.67567567567567566</v>
      </c>
      <c r="X117" s="100">
        <f t="shared" si="184"/>
        <v>1</v>
      </c>
      <c r="Y117" s="100">
        <f t="shared" si="185"/>
        <v>0.66666666666666663</v>
      </c>
      <c r="Z117" s="100">
        <f t="shared" si="186"/>
        <v>0.33333333333333331</v>
      </c>
      <c r="AA117" s="101">
        <f t="shared" si="187"/>
        <v>15.600000000000001</v>
      </c>
      <c r="AB117" s="46" t="str">
        <f t="shared" si="189"/>
        <v>REG</v>
      </c>
    </row>
    <row r="118" spans="1:28" ht="39.950000000000003" customHeight="1" x14ac:dyDescent="0.5">
      <c r="A118" s="44" t="str">
        <f t="shared" ref="A118:C118" si="190">A116</f>
        <v>PRIME TIME</v>
      </c>
      <c r="B118" s="44">
        <f t="shared" si="190"/>
        <v>2</v>
      </c>
      <c r="C118" s="44">
        <f t="shared" si="190"/>
        <v>3</v>
      </c>
      <c r="D118" s="86" t="s">
        <v>51</v>
      </c>
      <c r="E118" s="102">
        <v>3</v>
      </c>
      <c r="F118" s="102">
        <v>5</v>
      </c>
      <c r="G118" s="102">
        <v>0</v>
      </c>
      <c r="H118" s="102">
        <v>2</v>
      </c>
      <c r="I118" s="102">
        <f t="shared" si="179"/>
        <v>3</v>
      </c>
      <c r="J118" s="102">
        <f t="shared" si="179"/>
        <v>7</v>
      </c>
      <c r="K118" s="102">
        <v>1</v>
      </c>
      <c r="L118" s="102">
        <v>1</v>
      </c>
      <c r="M118" s="102">
        <v>0</v>
      </c>
      <c r="N118" s="102">
        <v>7</v>
      </c>
      <c r="O118" s="102">
        <f t="shared" si="180"/>
        <v>7</v>
      </c>
      <c r="P118" s="102">
        <f t="shared" si="181"/>
        <v>7</v>
      </c>
      <c r="Q118" s="102">
        <v>3</v>
      </c>
      <c r="R118" s="102">
        <v>1</v>
      </c>
      <c r="S118" s="102">
        <v>0</v>
      </c>
      <c r="T118" s="102">
        <v>2</v>
      </c>
      <c r="U118" s="102">
        <v>3</v>
      </c>
      <c r="V118" s="103">
        <f t="shared" si="182"/>
        <v>0.42857142857142855</v>
      </c>
      <c r="W118" s="103">
        <f t="shared" si="183"/>
        <v>0.47043010752688169</v>
      </c>
      <c r="X118" s="103">
        <f t="shared" si="184"/>
        <v>1</v>
      </c>
      <c r="Y118" s="103">
        <f t="shared" si="185"/>
        <v>0.6</v>
      </c>
      <c r="Z118" s="103">
        <f t="shared" si="186"/>
        <v>0</v>
      </c>
      <c r="AA118" s="104">
        <f t="shared" si="187"/>
        <v>4.9999999999999991</v>
      </c>
      <c r="AB118" s="46" t="str">
        <f>AB117</f>
        <v>REG</v>
      </c>
    </row>
    <row r="119" spans="1:28" ht="39.950000000000003" customHeight="1" x14ac:dyDescent="0.5">
      <c r="A119" s="44" t="str">
        <f>A118</f>
        <v>PRIME TIME</v>
      </c>
      <c r="B119" s="44">
        <f t="shared" ref="B119:C119" si="191">B118</f>
        <v>2</v>
      </c>
      <c r="C119" s="44">
        <f t="shared" si="191"/>
        <v>3</v>
      </c>
      <c r="D119" s="86" t="s">
        <v>41</v>
      </c>
      <c r="E119" s="163">
        <v>0</v>
      </c>
      <c r="F119" s="163">
        <v>0</v>
      </c>
      <c r="G119" s="163">
        <v>0</v>
      </c>
      <c r="H119" s="163">
        <v>2</v>
      </c>
      <c r="I119" s="163">
        <f t="shared" si="179"/>
        <v>0</v>
      </c>
      <c r="J119" s="163">
        <f t="shared" si="179"/>
        <v>2</v>
      </c>
      <c r="K119" s="163">
        <v>0</v>
      </c>
      <c r="L119" s="163">
        <v>0</v>
      </c>
      <c r="M119" s="163">
        <v>0</v>
      </c>
      <c r="N119" s="163">
        <v>0</v>
      </c>
      <c r="O119" s="163">
        <f t="shared" si="180"/>
        <v>0</v>
      </c>
      <c r="P119" s="163">
        <f t="shared" si="181"/>
        <v>0</v>
      </c>
      <c r="Q119" s="163">
        <v>0</v>
      </c>
      <c r="R119" s="163">
        <v>0</v>
      </c>
      <c r="S119" s="163">
        <v>1</v>
      </c>
      <c r="T119" s="163">
        <v>0</v>
      </c>
      <c r="U119" s="163">
        <v>0</v>
      </c>
      <c r="V119" s="164">
        <f t="shared" si="182"/>
        <v>0</v>
      </c>
      <c r="W119" s="164">
        <f t="shared" si="183"/>
        <v>0</v>
      </c>
      <c r="X119" s="164">
        <f t="shared" si="184"/>
        <v>0</v>
      </c>
      <c r="Y119" s="164">
        <f t="shared" si="185"/>
        <v>0</v>
      </c>
      <c r="Z119" s="164">
        <f t="shared" si="186"/>
        <v>0</v>
      </c>
      <c r="AA119" s="165">
        <f t="shared" si="187"/>
        <v>-0.39999999999999991</v>
      </c>
      <c r="AB119" s="46" t="str">
        <f>AB118</f>
        <v>REG</v>
      </c>
    </row>
    <row r="120" spans="1:28" ht="39.950000000000003" customHeight="1" x14ac:dyDescent="0.5">
      <c r="A120" s="44" t="str">
        <f>A117</f>
        <v>PRIME TIME</v>
      </c>
      <c r="B120" s="44">
        <f>B117</f>
        <v>2</v>
      </c>
      <c r="C120" s="44">
        <f>C117</f>
        <v>3</v>
      </c>
      <c r="D120" s="86" t="s">
        <v>32</v>
      </c>
      <c r="E120" s="105">
        <f>SUM(E113:E119)</f>
        <v>17</v>
      </c>
      <c r="F120" s="105">
        <f t="shared" ref="F120:U120" si="192">SUM(F113:F119)</f>
        <v>34</v>
      </c>
      <c r="G120" s="105">
        <f t="shared" si="192"/>
        <v>5</v>
      </c>
      <c r="H120" s="105">
        <f t="shared" si="192"/>
        <v>18</v>
      </c>
      <c r="I120" s="105">
        <f t="shared" si="192"/>
        <v>22</v>
      </c>
      <c r="J120" s="105">
        <f t="shared" si="192"/>
        <v>52</v>
      </c>
      <c r="K120" s="105">
        <f t="shared" si="192"/>
        <v>5</v>
      </c>
      <c r="L120" s="105">
        <f t="shared" si="192"/>
        <v>7</v>
      </c>
      <c r="M120" s="105">
        <f t="shared" si="192"/>
        <v>5</v>
      </c>
      <c r="N120" s="105">
        <f t="shared" si="192"/>
        <v>22</v>
      </c>
      <c r="O120" s="105">
        <f t="shared" si="192"/>
        <v>54</v>
      </c>
      <c r="P120" s="105">
        <f t="shared" si="192"/>
        <v>27</v>
      </c>
      <c r="Q120" s="105">
        <f t="shared" si="192"/>
        <v>10</v>
      </c>
      <c r="R120" s="105">
        <f t="shared" si="192"/>
        <v>2</v>
      </c>
      <c r="S120" s="105">
        <f t="shared" si="192"/>
        <v>10</v>
      </c>
      <c r="T120" s="105">
        <f t="shared" si="192"/>
        <v>7</v>
      </c>
      <c r="U120" s="105">
        <f t="shared" si="192"/>
        <v>6</v>
      </c>
      <c r="V120" s="106">
        <f t="shared" si="182"/>
        <v>0.42307692307692307</v>
      </c>
      <c r="W120" s="106">
        <f t="shared" si="183"/>
        <v>0.49019607843137258</v>
      </c>
      <c r="X120" s="106">
        <f t="shared" si="184"/>
        <v>0.7142857142857143</v>
      </c>
      <c r="Y120" s="106">
        <f t="shared" si="185"/>
        <v>0.5</v>
      </c>
      <c r="Z120" s="106">
        <f t="shared" si="186"/>
        <v>0.27777777777777779</v>
      </c>
      <c r="AA120" s="107">
        <f>AVERAGE(AA113:AA119)</f>
        <v>6.3857142857142861</v>
      </c>
      <c r="AB120" s="46" t="str">
        <f>AB118</f>
        <v>REG</v>
      </c>
    </row>
    <row r="121" spans="1:28" ht="39.950000000000003" customHeight="1" x14ac:dyDescent="0.55000000000000004">
      <c r="A121" s="44" t="s">
        <v>33</v>
      </c>
      <c r="B121" s="44">
        <f t="shared" ref="B121:C121" si="193">B120</f>
        <v>2</v>
      </c>
      <c r="C121" s="44">
        <f t="shared" si="193"/>
        <v>3</v>
      </c>
      <c r="D121" s="82" t="s">
        <v>37</v>
      </c>
      <c r="E121" s="83"/>
      <c r="F121" s="83"/>
      <c r="G121" s="83"/>
      <c r="H121" s="83"/>
      <c r="I121" s="83"/>
      <c r="J121" s="83"/>
      <c r="K121" s="83"/>
      <c r="L121" s="83"/>
      <c r="M121" s="83"/>
      <c r="N121" s="83"/>
      <c r="O121" s="83">
        <v>42</v>
      </c>
      <c r="P121" s="83"/>
      <c r="Q121" s="83"/>
      <c r="R121" s="83"/>
      <c r="S121" s="83"/>
      <c r="T121" s="83"/>
      <c r="U121" s="83"/>
      <c r="V121" s="83"/>
      <c r="W121" s="83"/>
      <c r="X121" s="83"/>
      <c r="Y121" s="83"/>
      <c r="Z121" s="83"/>
      <c r="AA121" s="83"/>
      <c r="AB121" s="46" t="str">
        <f>AB120</f>
        <v>REG</v>
      </c>
    </row>
    <row r="122" spans="1:28" ht="39.950000000000003" customHeight="1" x14ac:dyDescent="0.5">
      <c r="A122" s="44" t="str">
        <f>D128</f>
        <v>slow motion</v>
      </c>
      <c r="B122" s="44">
        <v>2</v>
      </c>
      <c r="C122" s="44">
        <v>4</v>
      </c>
      <c r="D122" s="86" t="s">
        <v>36</v>
      </c>
      <c r="E122" s="87">
        <v>6</v>
      </c>
      <c r="F122" s="87">
        <v>12</v>
      </c>
      <c r="G122" s="87">
        <v>0</v>
      </c>
      <c r="H122" s="87">
        <v>2</v>
      </c>
      <c r="I122" s="87">
        <f>E122+G122</f>
        <v>6</v>
      </c>
      <c r="J122" s="87">
        <f>F122+H122</f>
        <v>14</v>
      </c>
      <c r="K122" s="87">
        <v>1</v>
      </c>
      <c r="L122" s="87">
        <v>3</v>
      </c>
      <c r="M122" s="87">
        <v>1</v>
      </c>
      <c r="N122" s="87">
        <v>4</v>
      </c>
      <c r="O122" s="87">
        <f>E122*2+G122*3+K122</f>
        <v>13</v>
      </c>
      <c r="P122" s="87">
        <f>M122+N122</f>
        <v>5</v>
      </c>
      <c r="Q122" s="87">
        <v>3</v>
      </c>
      <c r="R122" s="87">
        <v>0</v>
      </c>
      <c r="S122" s="87">
        <v>2</v>
      </c>
      <c r="T122" s="87">
        <v>0</v>
      </c>
      <c r="U122" s="87">
        <v>2</v>
      </c>
      <c r="V122" s="88">
        <f>IFERROR(I122/J122,0)</f>
        <v>0.42857142857142855</v>
      </c>
      <c r="W122" s="88">
        <f>IFERROR(O122/(2*(J122+0.44*L122)), 0)</f>
        <v>0.42428198433420367</v>
      </c>
      <c r="X122" s="88">
        <f>IFERROR(K122/L122,0)</f>
        <v>0.33333333333333331</v>
      </c>
      <c r="Y122" s="88">
        <f>IFERROR(E122/F122,0)</f>
        <v>0.5</v>
      </c>
      <c r="Z122" s="88">
        <f>IFERROR(G122/H122,0)</f>
        <v>0</v>
      </c>
      <c r="AA122" s="89">
        <f>(O122)+(0.4*I122)-(0.7*J122)-(0.4*(L122-K122))+(0.7*M122)+(0.3*N122)+S122+(0.7*Q122)+(0.7*R122)-(0.4*U122)-T122</f>
        <v>10.000000000000002</v>
      </c>
      <c r="AB122" s="167" t="s">
        <v>27</v>
      </c>
    </row>
    <row r="123" spans="1:28" ht="39.950000000000003" customHeight="1" x14ac:dyDescent="0.5">
      <c r="A123" s="44" t="str">
        <f>A122</f>
        <v>slow motion</v>
      </c>
      <c r="B123" s="44">
        <f>B122</f>
        <v>2</v>
      </c>
      <c r="C123" s="44">
        <f>C122</f>
        <v>4</v>
      </c>
      <c r="D123" s="86" t="s">
        <v>28</v>
      </c>
      <c r="E123" s="90">
        <v>2</v>
      </c>
      <c r="F123" s="90">
        <v>9</v>
      </c>
      <c r="G123" s="90">
        <v>2</v>
      </c>
      <c r="H123" s="90">
        <v>7</v>
      </c>
      <c r="I123" s="90">
        <f t="shared" ref="I123:I126" si="194">E123+G123</f>
        <v>4</v>
      </c>
      <c r="J123" s="90">
        <f t="shared" ref="J123:J126" si="195">F123+H123</f>
        <v>16</v>
      </c>
      <c r="K123" s="90">
        <v>4</v>
      </c>
      <c r="L123" s="90">
        <v>6</v>
      </c>
      <c r="M123" s="90">
        <v>1</v>
      </c>
      <c r="N123" s="90">
        <v>5</v>
      </c>
      <c r="O123" s="90">
        <f t="shared" ref="O123:O126" si="196">E123*2+G123*3+K123</f>
        <v>14</v>
      </c>
      <c r="P123" s="90">
        <f t="shared" ref="P123:P126" si="197">M123+N123</f>
        <v>6</v>
      </c>
      <c r="Q123" s="90">
        <v>7</v>
      </c>
      <c r="R123" s="90">
        <v>0</v>
      </c>
      <c r="S123" s="90">
        <v>1</v>
      </c>
      <c r="T123" s="90">
        <v>1</v>
      </c>
      <c r="U123" s="90">
        <v>1</v>
      </c>
      <c r="V123" s="91">
        <f t="shared" ref="V123:V126" si="198">IFERROR(I123/J123,0)</f>
        <v>0.25</v>
      </c>
      <c r="W123" s="91">
        <f t="shared" ref="W123:W127" si="199">IFERROR(O123/(2*(J123+0.44*L123)), 0)</f>
        <v>0.37553648068669526</v>
      </c>
      <c r="X123" s="91">
        <f t="shared" ref="X123:X127" si="200">IFERROR(K123/L123,0)</f>
        <v>0.66666666666666663</v>
      </c>
      <c r="Y123" s="91">
        <f t="shared" ref="Y123:Y127" si="201">IFERROR(E123/F123,0)</f>
        <v>0.22222222222222221</v>
      </c>
      <c r="Z123" s="91">
        <f t="shared" ref="Z123:Z127" si="202">IFERROR(G123/H123,0)</f>
        <v>0.2857142857142857</v>
      </c>
      <c r="AA123" s="92">
        <f t="shared" ref="AA123:AA126" si="203">(O123)+(0.4*I123)-(0.7*J123)-(0.4*(L123-K123))+(0.7*M123)+(0.3*N123)+S123+(0.7*Q123)+(0.7*R123)-(0.4*U123)-T123</f>
        <v>10.299999999999999</v>
      </c>
      <c r="AB123" s="46" t="str">
        <f>AB122</f>
        <v>REG</v>
      </c>
    </row>
    <row r="124" spans="1:28" ht="39.950000000000003" customHeight="1" x14ac:dyDescent="0.5">
      <c r="A124" s="44" t="str">
        <f t="shared" ref="A124:C124" si="204">A123</f>
        <v>slow motion</v>
      </c>
      <c r="B124" s="44">
        <f t="shared" si="204"/>
        <v>2</v>
      </c>
      <c r="C124" s="44">
        <f t="shared" si="204"/>
        <v>4</v>
      </c>
      <c r="D124" s="86" t="s">
        <v>29</v>
      </c>
      <c r="E124" s="93">
        <v>0</v>
      </c>
      <c r="F124" s="93">
        <v>1</v>
      </c>
      <c r="G124" s="93">
        <v>1</v>
      </c>
      <c r="H124" s="93">
        <v>3</v>
      </c>
      <c r="I124" s="93">
        <f t="shared" si="194"/>
        <v>1</v>
      </c>
      <c r="J124" s="93">
        <f t="shared" si="195"/>
        <v>4</v>
      </c>
      <c r="K124" s="93">
        <v>0</v>
      </c>
      <c r="L124" s="93">
        <v>0</v>
      </c>
      <c r="M124" s="93">
        <v>0</v>
      </c>
      <c r="N124" s="93">
        <v>4</v>
      </c>
      <c r="O124" s="93">
        <f t="shared" si="196"/>
        <v>3</v>
      </c>
      <c r="P124" s="93">
        <f t="shared" si="197"/>
        <v>4</v>
      </c>
      <c r="Q124" s="93">
        <v>1</v>
      </c>
      <c r="R124" s="93">
        <v>0</v>
      </c>
      <c r="S124" s="93">
        <v>0</v>
      </c>
      <c r="T124" s="93">
        <v>0</v>
      </c>
      <c r="U124" s="93">
        <v>4</v>
      </c>
      <c r="V124" s="94">
        <f t="shared" si="198"/>
        <v>0.25</v>
      </c>
      <c r="W124" s="94">
        <f t="shared" si="199"/>
        <v>0.375</v>
      </c>
      <c r="X124" s="94">
        <f t="shared" si="200"/>
        <v>0</v>
      </c>
      <c r="Y124" s="94">
        <f t="shared" si="201"/>
        <v>0</v>
      </c>
      <c r="Z124" s="94">
        <f t="shared" si="202"/>
        <v>0.33333333333333331</v>
      </c>
      <c r="AA124" s="95">
        <f t="shared" si="203"/>
        <v>0.89999999999999991</v>
      </c>
      <c r="AB124" s="46" t="str">
        <f t="shared" ref="AB124:AB125" si="205">AB123</f>
        <v>REG</v>
      </c>
    </row>
    <row r="125" spans="1:28" ht="39.950000000000003" customHeight="1" x14ac:dyDescent="0.5">
      <c r="A125" s="44" t="str">
        <f t="shared" ref="A125:C125" si="206">A124</f>
        <v>slow motion</v>
      </c>
      <c r="B125" s="44">
        <f t="shared" si="206"/>
        <v>2</v>
      </c>
      <c r="C125" s="44">
        <f t="shared" si="206"/>
        <v>4</v>
      </c>
      <c r="D125" s="86" t="s">
        <v>45</v>
      </c>
      <c r="E125" s="99">
        <v>8</v>
      </c>
      <c r="F125" s="99">
        <v>18</v>
      </c>
      <c r="G125" s="99">
        <v>2</v>
      </c>
      <c r="H125" s="99">
        <v>4</v>
      </c>
      <c r="I125" s="99">
        <f t="shared" si="194"/>
        <v>10</v>
      </c>
      <c r="J125" s="99">
        <f t="shared" si="195"/>
        <v>22</v>
      </c>
      <c r="K125" s="99">
        <v>2</v>
      </c>
      <c r="L125" s="99">
        <v>3</v>
      </c>
      <c r="M125" s="99">
        <v>3</v>
      </c>
      <c r="N125" s="99">
        <v>8</v>
      </c>
      <c r="O125" s="99">
        <f t="shared" si="196"/>
        <v>24</v>
      </c>
      <c r="P125" s="99">
        <f t="shared" si="197"/>
        <v>11</v>
      </c>
      <c r="Q125" s="99">
        <v>1</v>
      </c>
      <c r="R125" s="99">
        <v>1</v>
      </c>
      <c r="S125" s="99">
        <v>1</v>
      </c>
      <c r="T125" s="99">
        <v>0</v>
      </c>
      <c r="U125" s="99">
        <v>3</v>
      </c>
      <c r="V125" s="100">
        <f t="shared" si="198"/>
        <v>0.45454545454545453</v>
      </c>
      <c r="W125" s="100">
        <f t="shared" si="199"/>
        <v>0.51457975986277871</v>
      </c>
      <c r="X125" s="100">
        <f t="shared" si="200"/>
        <v>0.66666666666666663</v>
      </c>
      <c r="Y125" s="100">
        <f t="shared" si="201"/>
        <v>0.44444444444444442</v>
      </c>
      <c r="Z125" s="100">
        <f t="shared" si="202"/>
        <v>0.5</v>
      </c>
      <c r="AA125" s="101">
        <f t="shared" si="203"/>
        <v>17.899999999999999</v>
      </c>
      <c r="AB125" s="46" t="str">
        <f t="shared" si="205"/>
        <v>REG</v>
      </c>
    </row>
    <row r="126" spans="1:28" ht="39.950000000000003" customHeight="1" x14ac:dyDescent="0.5">
      <c r="A126" s="44" t="str">
        <f>A125</f>
        <v>slow motion</v>
      </c>
      <c r="B126" s="44">
        <f t="shared" ref="B126:C126" si="207">B125</f>
        <v>2</v>
      </c>
      <c r="C126" s="44">
        <f t="shared" si="207"/>
        <v>4</v>
      </c>
      <c r="D126" s="86" t="s">
        <v>41</v>
      </c>
      <c r="E126" s="163">
        <v>0</v>
      </c>
      <c r="F126" s="163">
        <v>0</v>
      </c>
      <c r="G126" s="163">
        <v>0</v>
      </c>
      <c r="H126" s="163">
        <v>2</v>
      </c>
      <c r="I126" s="163">
        <f t="shared" si="194"/>
        <v>0</v>
      </c>
      <c r="J126" s="163">
        <f t="shared" si="195"/>
        <v>2</v>
      </c>
      <c r="K126" s="163">
        <v>0</v>
      </c>
      <c r="L126" s="163">
        <v>0</v>
      </c>
      <c r="M126" s="163">
        <v>0</v>
      </c>
      <c r="N126" s="163">
        <v>1</v>
      </c>
      <c r="O126" s="163">
        <f t="shared" si="196"/>
        <v>0</v>
      </c>
      <c r="P126" s="163">
        <f t="shared" si="197"/>
        <v>1</v>
      </c>
      <c r="Q126" s="163">
        <v>0</v>
      </c>
      <c r="R126" s="163">
        <v>0</v>
      </c>
      <c r="S126" s="163">
        <v>1</v>
      </c>
      <c r="T126" s="163">
        <v>0</v>
      </c>
      <c r="U126" s="163">
        <v>0</v>
      </c>
      <c r="V126" s="164">
        <f t="shared" si="198"/>
        <v>0</v>
      </c>
      <c r="W126" s="164">
        <f t="shared" si="199"/>
        <v>0</v>
      </c>
      <c r="X126" s="164">
        <f t="shared" si="200"/>
        <v>0</v>
      </c>
      <c r="Y126" s="164">
        <f t="shared" si="201"/>
        <v>0</v>
      </c>
      <c r="Z126" s="164">
        <f t="shared" si="202"/>
        <v>0</v>
      </c>
      <c r="AA126" s="165">
        <f t="shared" si="203"/>
        <v>-9.9999999999999867E-2</v>
      </c>
      <c r="AB126" s="46" t="str">
        <f>AB125</f>
        <v>REG</v>
      </c>
    </row>
    <row r="127" spans="1:28" ht="39.950000000000003" customHeight="1" x14ac:dyDescent="0.5">
      <c r="A127" s="44" t="str">
        <f>A124</f>
        <v>slow motion</v>
      </c>
      <c r="B127" s="44">
        <f>B124</f>
        <v>2</v>
      </c>
      <c r="C127" s="44">
        <f>C124</f>
        <v>4</v>
      </c>
      <c r="D127" s="86" t="s">
        <v>32</v>
      </c>
      <c r="E127" s="105">
        <f>SUM(E122:E126)</f>
        <v>16</v>
      </c>
      <c r="F127" s="105">
        <f t="shared" ref="F127" si="208">SUM(F122:F126)</f>
        <v>40</v>
      </c>
      <c r="G127" s="105">
        <f t="shared" ref="G127" si="209">SUM(G122:G126)</f>
        <v>5</v>
      </c>
      <c r="H127" s="105">
        <f t="shared" ref="H127" si="210">SUM(H122:H126)</f>
        <v>18</v>
      </c>
      <c r="I127" s="105">
        <f t="shared" ref="I127" si="211">SUM(I122:I126)</f>
        <v>21</v>
      </c>
      <c r="J127" s="105">
        <f t="shared" ref="J127" si="212">SUM(J122:J126)</f>
        <v>58</v>
      </c>
      <c r="K127" s="105">
        <f t="shared" ref="K127" si="213">SUM(K122:K126)</f>
        <v>7</v>
      </c>
      <c r="L127" s="105">
        <f t="shared" ref="L127" si="214">SUM(L122:L126)</f>
        <v>12</v>
      </c>
      <c r="M127" s="105">
        <f t="shared" ref="M127" si="215">SUM(M122:M126)</f>
        <v>5</v>
      </c>
      <c r="N127" s="105">
        <f t="shared" ref="N127" si="216">SUM(N122:N126)</f>
        <v>22</v>
      </c>
      <c r="O127" s="105">
        <f t="shared" ref="O127" si="217">SUM(O122:O126)</f>
        <v>54</v>
      </c>
      <c r="P127" s="105">
        <f t="shared" ref="P127" si="218">SUM(P122:P126)</f>
        <v>27</v>
      </c>
      <c r="Q127" s="105">
        <f t="shared" ref="Q127" si="219">SUM(Q122:Q126)</f>
        <v>12</v>
      </c>
      <c r="R127" s="105">
        <f t="shared" ref="R127" si="220">SUM(R122:R126)</f>
        <v>1</v>
      </c>
      <c r="S127" s="105">
        <f t="shared" ref="S127" si="221">SUM(S122:S126)</f>
        <v>5</v>
      </c>
      <c r="T127" s="105">
        <f t="shared" ref="T127" si="222">SUM(T122:T126)</f>
        <v>1</v>
      </c>
      <c r="U127" s="105">
        <f t="shared" ref="U127" si="223">SUM(U122:U126)</f>
        <v>10</v>
      </c>
      <c r="V127" s="106">
        <f>IFERROR(I127/J127,0)</f>
        <v>0.36206896551724138</v>
      </c>
      <c r="W127" s="106">
        <f t="shared" si="199"/>
        <v>0.42667509481668775</v>
      </c>
      <c r="X127" s="106">
        <f t="shared" si="200"/>
        <v>0.58333333333333337</v>
      </c>
      <c r="Y127" s="106">
        <f t="shared" si="201"/>
        <v>0.4</v>
      </c>
      <c r="Z127" s="106">
        <f t="shared" si="202"/>
        <v>0.27777777777777779</v>
      </c>
      <c r="AA127" s="107">
        <f>AVERAGE(AA122:AA126)</f>
        <v>7.7999999999999989</v>
      </c>
      <c r="AB127" s="46" t="str">
        <f>AB125</f>
        <v>REG</v>
      </c>
    </row>
    <row r="128" spans="1:28" ht="39.950000000000003" customHeight="1" x14ac:dyDescent="0.55000000000000004">
      <c r="A128" s="44" t="s">
        <v>33</v>
      </c>
      <c r="B128" s="44">
        <f t="shared" ref="B128:C128" si="224">B127</f>
        <v>2</v>
      </c>
      <c r="C128" s="44">
        <f t="shared" si="224"/>
        <v>4</v>
      </c>
      <c r="D128" s="82" t="s">
        <v>49</v>
      </c>
      <c r="E128" s="83"/>
      <c r="F128" s="83"/>
      <c r="G128" s="83"/>
      <c r="H128" s="83"/>
      <c r="I128" s="83"/>
      <c r="J128" s="83"/>
      <c r="K128" s="83"/>
      <c r="L128" s="83"/>
      <c r="M128" s="83"/>
      <c r="N128" s="83"/>
      <c r="O128" s="83">
        <v>58</v>
      </c>
      <c r="P128" s="83"/>
      <c r="Q128" s="83"/>
      <c r="R128" s="83"/>
      <c r="S128" s="83"/>
      <c r="T128" s="83"/>
      <c r="U128" s="83"/>
      <c r="V128" s="83"/>
      <c r="W128" s="83"/>
      <c r="X128" s="83"/>
      <c r="Y128" s="83"/>
      <c r="Z128" s="83"/>
      <c r="AA128" s="83"/>
      <c r="AB128" s="46" t="str">
        <f>AB127</f>
        <v>REG</v>
      </c>
    </row>
    <row r="129" spans="1:28" ht="39.950000000000003" customHeight="1" x14ac:dyDescent="0.5">
      <c r="A129" s="44" t="str">
        <f>D136</f>
        <v>Ripperz</v>
      </c>
      <c r="B129" s="44">
        <v>2</v>
      </c>
      <c r="C129" s="44">
        <v>5</v>
      </c>
      <c r="D129" s="86" t="s">
        <v>36</v>
      </c>
      <c r="E129" s="87">
        <v>11</v>
      </c>
      <c r="F129" s="87">
        <v>13</v>
      </c>
      <c r="G129" s="87">
        <v>0</v>
      </c>
      <c r="H129" s="87">
        <v>1</v>
      </c>
      <c r="I129" s="87">
        <f>E129+G129</f>
        <v>11</v>
      </c>
      <c r="J129" s="87">
        <f>F129+H129</f>
        <v>14</v>
      </c>
      <c r="K129" s="87">
        <v>0</v>
      </c>
      <c r="L129" s="87">
        <v>0</v>
      </c>
      <c r="M129" s="87">
        <v>3</v>
      </c>
      <c r="N129" s="87">
        <v>2</v>
      </c>
      <c r="O129" s="87">
        <f>E129*2+G129*3+K129</f>
        <v>22</v>
      </c>
      <c r="P129" s="87">
        <f>M129+N129</f>
        <v>5</v>
      </c>
      <c r="Q129" s="87">
        <v>2</v>
      </c>
      <c r="R129" s="87">
        <v>0</v>
      </c>
      <c r="S129" s="87">
        <v>1</v>
      </c>
      <c r="T129" s="87">
        <v>1</v>
      </c>
      <c r="U129" s="87">
        <v>1</v>
      </c>
      <c r="V129" s="88">
        <f>IFERROR(I129/J129,0)</f>
        <v>0.7857142857142857</v>
      </c>
      <c r="W129" s="88">
        <f>IFERROR(O129/(2*(J129+0.44*L129)), 0)</f>
        <v>0.7857142857142857</v>
      </c>
      <c r="X129" s="88">
        <f>IFERROR(K129/L129,0)</f>
        <v>0</v>
      </c>
      <c r="Y129" s="88">
        <f>IFERROR(E129/F129,0)</f>
        <v>0.84615384615384615</v>
      </c>
      <c r="Z129" s="88">
        <f>IFERROR(G129/H129,0)</f>
        <v>0</v>
      </c>
      <c r="AA129" s="89">
        <f>(O129)+(0.4*I129)-(0.7*J129)-(0.4*(L129-K129))+(0.7*M129)+(0.3*N129)+S129+(0.7*Q129)+(0.7*R129)-(0.4*U129)-T129</f>
        <v>20.300000000000004</v>
      </c>
      <c r="AB129" s="167" t="s">
        <v>27</v>
      </c>
    </row>
    <row r="130" spans="1:28" ht="39.950000000000003" customHeight="1" x14ac:dyDescent="0.5">
      <c r="A130" s="44" t="str">
        <f>A129</f>
        <v>Ripperz</v>
      </c>
      <c r="B130" s="44">
        <f>B129</f>
        <v>2</v>
      </c>
      <c r="C130" s="44">
        <f>C129</f>
        <v>5</v>
      </c>
      <c r="D130" s="86" t="s">
        <v>28</v>
      </c>
      <c r="E130" s="90">
        <v>2</v>
      </c>
      <c r="F130" s="90">
        <v>5</v>
      </c>
      <c r="G130" s="90">
        <v>2</v>
      </c>
      <c r="H130" s="90">
        <v>4</v>
      </c>
      <c r="I130" s="90">
        <f t="shared" ref="I130:J134" si="225">E130+G130</f>
        <v>4</v>
      </c>
      <c r="J130" s="90">
        <f t="shared" si="225"/>
        <v>9</v>
      </c>
      <c r="K130" s="90">
        <v>4</v>
      </c>
      <c r="L130" s="90">
        <v>5</v>
      </c>
      <c r="M130" s="90">
        <v>2</v>
      </c>
      <c r="N130" s="90">
        <v>6</v>
      </c>
      <c r="O130" s="90">
        <f t="shared" ref="O130:O134" si="226">E130*2+G130*3+K130</f>
        <v>14</v>
      </c>
      <c r="P130" s="90">
        <f t="shared" ref="P130:P134" si="227">M130+N130</f>
        <v>8</v>
      </c>
      <c r="Q130" s="90">
        <v>5</v>
      </c>
      <c r="R130" s="90">
        <v>0</v>
      </c>
      <c r="S130" s="90">
        <v>3</v>
      </c>
      <c r="T130" s="90">
        <v>3</v>
      </c>
      <c r="U130" s="90">
        <v>1</v>
      </c>
      <c r="V130" s="91">
        <f t="shared" ref="V130:V135" si="228">IFERROR(I130/J130,0)</f>
        <v>0.44444444444444442</v>
      </c>
      <c r="W130" s="91">
        <f t="shared" ref="W130:W135" si="229">IFERROR(O130/(2*(J130+0.44*L130)), 0)</f>
        <v>0.625</v>
      </c>
      <c r="X130" s="91">
        <f t="shared" ref="X130:X135" si="230">IFERROR(K130/L130,0)</f>
        <v>0.8</v>
      </c>
      <c r="Y130" s="91">
        <f t="shared" ref="Y130:Y135" si="231">IFERROR(E130/F130,0)</f>
        <v>0.4</v>
      </c>
      <c r="Z130" s="91">
        <f t="shared" ref="Z130:Z135" si="232">IFERROR(G130/H130,0)</f>
        <v>0.5</v>
      </c>
      <c r="AA130" s="92">
        <f t="shared" ref="AA130:AA134" si="233">(O130)+(0.4*I130)-(0.7*J130)-(0.4*(L130-K130))+(0.7*M130)+(0.3*N130)+S130+(0.7*Q130)+(0.7*R130)-(0.4*U130)-T130</f>
        <v>15.200000000000003</v>
      </c>
      <c r="AB130" s="46" t="str">
        <f>AB129</f>
        <v>REG</v>
      </c>
    </row>
    <row r="131" spans="1:28" ht="39.950000000000003" customHeight="1" x14ac:dyDescent="0.5">
      <c r="A131" s="44" t="str">
        <f t="shared" ref="A131:C132" si="234">A130</f>
        <v>Ripperz</v>
      </c>
      <c r="B131" s="44">
        <f t="shared" si="234"/>
        <v>2</v>
      </c>
      <c r="C131" s="44">
        <f t="shared" si="234"/>
        <v>5</v>
      </c>
      <c r="D131" s="86" t="s">
        <v>29</v>
      </c>
      <c r="E131" s="93">
        <v>1</v>
      </c>
      <c r="F131" s="93">
        <v>2</v>
      </c>
      <c r="G131" s="93">
        <v>0</v>
      </c>
      <c r="H131" s="93">
        <v>3</v>
      </c>
      <c r="I131" s="93">
        <f t="shared" si="225"/>
        <v>1</v>
      </c>
      <c r="J131" s="93">
        <f t="shared" si="225"/>
        <v>5</v>
      </c>
      <c r="K131" s="93">
        <v>0</v>
      </c>
      <c r="L131" s="93">
        <v>0</v>
      </c>
      <c r="M131" s="93">
        <v>1</v>
      </c>
      <c r="N131" s="93">
        <v>3</v>
      </c>
      <c r="O131" s="93">
        <f t="shared" si="226"/>
        <v>2</v>
      </c>
      <c r="P131" s="93">
        <f t="shared" si="227"/>
        <v>4</v>
      </c>
      <c r="Q131" s="93">
        <v>2</v>
      </c>
      <c r="R131" s="93">
        <v>0</v>
      </c>
      <c r="S131" s="93">
        <v>2</v>
      </c>
      <c r="T131" s="93">
        <v>2</v>
      </c>
      <c r="U131" s="93">
        <v>1</v>
      </c>
      <c r="V131" s="94">
        <f t="shared" si="228"/>
        <v>0.2</v>
      </c>
      <c r="W131" s="94">
        <f t="shared" si="229"/>
        <v>0.2</v>
      </c>
      <c r="X131" s="94">
        <f t="shared" si="230"/>
        <v>0</v>
      </c>
      <c r="Y131" s="94">
        <f t="shared" si="231"/>
        <v>0.5</v>
      </c>
      <c r="Z131" s="94">
        <f t="shared" si="232"/>
        <v>0</v>
      </c>
      <c r="AA131" s="95">
        <f>(O131)+(0.4*I131)-(0.7*J131)-(0.4*(L131-K131))+(0.7*M131)+(0.3*N131)+S131+(0.7*Q131)+(0.7*R131)-(0.4*U131)-T131</f>
        <v>1.5</v>
      </c>
      <c r="AB131" s="46" t="str">
        <f t="shared" ref="AB131:AB132" si="235">AB130</f>
        <v>REG</v>
      </c>
    </row>
    <row r="132" spans="1:28" ht="39.950000000000003" customHeight="1" x14ac:dyDescent="0.5">
      <c r="A132" s="44" t="str">
        <f t="shared" si="234"/>
        <v>Ripperz</v>
      </c>
      <c r="B132" s="44">
        <f t="shared" si="234"/>
        <v>2</v>
      </c>
      <c r="C132" s="44">
        <f t="shared" si="234"/>
        <v>5</v>
      </c>
      <c r="D132" s="86" t="s">
        <v>45</v>
      </c>
      <c r="E132" s="99">
        <v>6</v>
      </c>
      <c r="F132" s="99">
        <v>11</v>
      </c>
      <c r="G132" s="99">
        <v>1</v>
      </c>
      <c r="H132" s="99">
        <v>4</v>
      </c>
      <c r="I132" s="99">
        <f t="shared" si="225"/>
        <v>7</v>
      </c>
      <c r="J132" s="99">
        <f t="shared" si="225"/>
        <v>15</v>
      </c>
      <c r="K132" s="99">
        <v>1</v>
      </c>
      <c r="L132" s="99">
        <v>2</v>
      </c>
      <c r="M132" s="99">
        <v>2</v>
      </c>
      <c r="N132" s="99">
        <v>10</v>
      </c>
      <c r="O132" s="99">
        <f t="shared" si="226"/>
        <v>16</v>
      </c>
      <c r="P132" s="99">
        <f t="shared" si="227"/>
        <v>12</v>
      </c>
      <c r="Q132" s="99">
        <v>2</v>
      </c>
      <c r="R132" s="99">
        <v>0</v>
      </c>
      <c r="S132" s="99">
        <v>0</v>
      </c>
      <c r="T132" s="99">
        <v>3</v>
      </c>
      <c r="U132" s="99">
        <v>1</v>
      </c>
      <c r="V132" s="100">
        <f t="shared" si="228"/>
        <v>0.46666666666666667</v>
      </c>
      <c r="W132" s="100">
        <f t="shared" si="229"/>
        <v>0.50377833753148615</v>
      </c>
      <c r="X132" s="100">
        <f t="shared" si="230"/>
        <v>0.5</v>
      </c>
      <c r="Y132" s="100">
        <f t="shared" si="231"/>
        <v>0.54545454545454541</v>
      </c>
      <c r="Z132" s="100">
        <f t="shared" si="232"/>
        <v>0.25</v>
      </c>
      <c r="AA132" s="101">
        <f t="shared" si="233"/>
        <v>10.3</v>
      </c>
      <c r="AB132" s="46" t="str">
        <f t="shared" si="235"/>
        <v>REG</v>
      </c>
    </row>
    <row r="133" spans="1:28" ht="39.950000000000003" customHeight="1" x14ac:dyDescent="0.5">
      <c r="A133" s="44" t="str">
        <f t="shared" ref="A133:C133" si="236">A131</f>
        <v>Ripperz</v>
      </c>
      <c r="B133" s="44">
        <f t="shared" si="236"/>
        <v>2</v>
      </c>
      <c r="C133" s="44">
        <f t="shared" si="236"/>
        <v>5</v>
      </c>
      <c r="D133" s="86" t="s">
        <v>51</v>
      </c>
      <c r="E133" s="102">
        <v>4</v>
      </c>
      <c r="F133" s="102">
        <v>7</v>
      </c>
      <c r="G133" s="102">
        <v>0</v>
      </c>
      <c r="H133" s="102">
        <v>1</v>
      </c>
      <c r="I133" s="102">
        <f t="shared" si="225"/>
        <v>4</v>
      </c>
      <c r="J133" s="102">
        <f t="shared" si="225"/>
        <v>8</v>
      </c>
      <c r="K133" s="102">
        <v>1</v>
      </c>
      <c r="L133" s="102">
        <v>2</v>
      </c>
      <c r="M133" s="102">
        <v>5</v>
      </c>
      <c r="N133" s="102">
        <v>5</v>
      </c>
      <c r="O133" s="102">
        <f t="shared" si="226"/>
        <v>9</v>
      </c>
      <c r="P133" s="102">
        <f t="shared" si="227"/>
        <v>10</v>
      </c>
      <c r="Q133" s="102">
        <v>3</v>
      </c>
      <c r="R133" s="102">
        <v>2</v>
      </c>
      <c r="S133" s="102">
        <v>0</v>
      </c>
      <c r="T133" s="102">
        <v>3</v>
      </c>
      <c r="U133" s="102">
        <v>0</v>
      </c>
      <c r="V133" s="103">
        <f t="shared" si="228"/>
        <v>0.5</v>
      </c>
      <c r="W133" s="103">
        <f t="shared" si="229"/>
        <v>0.50675675675675669</v>
      </c>
      <c r="X133" s="103">
        <f t="shared" si="230"/>
        <v>0.5</v>
      </c>
      <c r="Y133" s="103">
        <f t="shared" si="231"/>
        <v>0.5714285714285714</v>
      </c>
      <c r="Z133" s="103">
        <f t="shared" si="232"/>
        <v>0</v>
      </c>
      <c r="AA133" s="104">
        <f t="shared" si="233"/>
        <v>10.1</v>
      </c>
      <c r="AB133" s="46" t="str">
        <f>AB132</f>
        <v>REG</v>
      </c>
    </row>
    <row r="134" spans="1:28" ht="39.950000000000003" customHeight="1" x14ac:dyDescent="0.5">
      <c r="A134" s="44" t="str">
        <f>A133</f>
        <v>Ripperz</v>
      </c>
      <c r="B134" s="44">
        <f t="shared" ref="B134:C134" si="237">B133</f>
        <v>2</v>
      </c>
      <c r="C134" s="44">
        <f t="shared" si="237"/>
        <v>5</v>
      </c>
      <c r="D134" s="86" t="s">
        <v>41</v>
      </c>
      <c r="E134" s="163">
        <v>1</v>
      </c>
      <c r="F134" s="163">
        <v>1</v>
      </c>
      <c r="G134" s="163">
        <v>0</v>
      </c>
      <c r="H134" s="163">
        <v>2</v>
      </c>
      <c r="I134" s="163">
        <f t="shared" si="225"/>
        <v>1</v>
      </c>
      <c r="J134" s="163">
        <f t="shared" si="225"/>
        <v>3</v>
      </c>
      <c r="K134" s="163">
        <v>0</v>
      </c>
      <c r="L134" s="163">
        <v>0</v>
      </c>
      <c r="M134" s="163">
        <v>0</v>
      </c>
      <c r="N134" s="163">
        <v>1</v>
      </c>
      <c r="O134" s="163">
        <f t="shared" si="226"/>
        <v>2</v>
      </c>
      <c r="P134" s="163">
        <f t="shared" si="227"/>
        <v>1</v>
      </c>
      <c r="Q134" s="163">
        <v>0</v>
      </c>
      <c r="R134" s="163">
        <v>0</v>
      </c>
      <c r="S134" s="163">
        <v>0</v>
      </c>
      <c r="T134" s="163">
        <v>1</v>
      </c>
      <c r="U134" s="163">
        <v>2</v>
      </c>
      <c r="V134" s="164">
        <f t="shared" si="228"/>
        <v>0.33333333333333331</v>
      </c>
      <c r="W134" s="164">
        <f t="shared" si="229"/>
        <v>0.33333333333333331</v>
      </c>
      <c r="X134" s="164">
        <f t="shared" si="230"/>
        <v>0</v>
      </c>
      <c r="Y134" s="164">
        <f t="shared" si="231"/>
        <v>1</v>
      </c>
      <c r="Z134" s="164">
        <f t="shared" si="232"/>
        <v>0</v>
      </c>
      <c r="AA134" s="165">
        <f t="shared" si="233"/>
        <v>-1.1999999999999997</v>
      </c>
      <c r="AB134" s="46" t="str">
        <f>AB133</f>
        <v>REG</v>
      </c>
    </row>
    <row r="135" spans="1:28" ht="39.950000000000003" customHeight="1" x14ac:dyDescent="0.5">
      <c r="A135" s="44" t="str">
        <f>A132</f>
        <v>Ripperz</v>
      </c>
      <c r="B135" s="44">
        <f>B132</f>
        <v>2</v>
      </c>
      <c r="C135" s="44">
        <f>C132</f>
        <v>5</v>
      </c>
      <c r="D135" s="86" t="s">
        <v>32</v>
      </c>
      <c r="E135" s="105">
        <f>SUM(E129:E134)</f>
        <v>25</v>
      </c>
      <c r="F135" s="105">
        <f t="shared" ref="F135:U135" si="238">SUM(F129:F134)</f>
        <v>39</v>
      </c>
      <c r="G135" s="105">
        <f t="shared" si="238"/>
        <v>3</v>
      </c>
      <c r="H135" s="105">
        <f t="shared" si="238"/>
        <v>15</v>
      </c>
      <c r="I135" s="105">
        <f t="shared" si="238"/>
        <v>28</v>
      </c>
      <c r="J135" s="105">
        <f t="shared" si="238"/>
        <v>54</v>
      </c>
      <c r="K135" s="105">
        <f t="shared" si="238"/>
        <v>6</v>
      </c>
      <c r="L135" s="105">
        <f t="shared" si="238"/>
        <v>9</v>
      </c>
      <c r="M135" s="105">
        <f t="shared" si="238"/>
        <v>13</v>
      </c>
      <c r="N135" s="105">
        <f t="shared" si="238"/>
        <v>27</v>
      </c>
      <c r="O135" s="105">
        <f t="shared" si="238"/>
        <v>65</v>
      </c>
      <c r="P135" s="105">
        <f t="shared" si="238"/>
        <v>40</v>
      </c>
      <c r="Q135" s="105">
        <f t="shared" si="238"/>
        <v>14</v>
      </c>
      <c r="R135" s="105">
        <f t="shared" si="238"/>
        <v>2</v>
      </c>
      <c r="S135" s="105">
        <f t="shared" si="238"/>
        <v>6</v>
      </c>
      <c r="T135" s="105">
        <f t="shared" si="238"/>
        <v>13</v>
      </c>
      <c r="U135" s="105">
        <f t="shared" si="238"/>
        <v>6</v>
      </c>
      <c r="V135" s="106">
        <f t="shared" si="228"/>
        <v>0.51851851851851849</v>
      </c>
      <c r="W135" s="106">
        <f t="shared" si="229"/>
        <v>0.56073153899240857</v>
      </c>
      <c r="X135" s="106">
        <f t="shared" si="230"/>
        <v>0.66666666666666663</v>
      </c>
      <c r="Y135" s="106">
        <f t="shared" si="231"/>
        <v>0.64102564102564108</v>
      </c>
      <c r="Z135" s="106">
        <f t="shared" si="232"/>
        <v>0.2</v>
      </c>
      <c r="AA135" s="107">
        <f>AVERAGE(AA129:AA134)</f>
        <v>9.3666666666666689</v>
      </c>
      <c r="AB135" s="46" t="str">
        <f>AB133</f>
        <v>REG</v>
      </c>
    </row>
    <row r="136" spans="1:28" ht="39.950000000000003" customHeight="1" x14ac:dyDescent="0.55000000000000004">
      <c r="A136" s="44" t="s">
        <v>33</v>
      </c>
      <c r="B136" s="44">
        <f t="shared" ref="B136:C136" si="239">B135</f>
        <v>2</v>
      </c>
      <c r="C136" s="44">
        <f t="shared" si="239"/>
        <v>5</v>
      </c>
      <c r="D136" s="82" t="s">
        <v>58</v>
      </c>
      <c r="E136" s="83"/>
      <c r="F136" s="83"/>
      <c r="G136" s="83"/>
      <c r="H136" s="83"/>
      <c r="I136" s="83"/>
      <c r="J136" s="83"/>
      <c r="K136" s="83"/>
      <c r="L136" s="83"/>
      <c r="M136" s="83"/>
      <c r="N136" s="83"/>
      <c r="O136" s="83">
        <v>49</v>
      </c>
      <c r="P136" s="83"/>
      <c r="Q136" s="83"/>
      <c r="R136" s="83"/>
      <c r="S136" s="83"/>
      <c r="T136" s="83"/>
      <c r="U136" s="83"/>
      <c r="V136" s="83"/>
      <c r="W136" s="83"/>
      <c r="X136" s="83"/>
      <c r="Y136" s="83"/>
      <c r="Z136" s="83"/>
      <c r="AA136" s="83"/>
      <c r="AB136" s="46" t="str">
        <f>AB135</f>
        <v>REG</v>
      </c>
    </row>
    <row r="137" spans="1:28" ht="39.950000000000003" customHeight="1" x14ac:dyDescent="0.5">
      <c r="A137" s="44" t="str">
        <f>D144</f>
        <v>Park City</v>
      </c>
      <c r="B137" s="44">
        <v>2</v>
      </c>
      <c r="C137" s="44">
        <v>6</v>
      </c>
      <c r="D137" s="86" t="s">
        <v>36</v>
      </c>
      <c r="E137" s="87">
        <v>7</v>
      </c>
      <c r="F137" s="87">
        <v>13</v>
      </c>
      <c r="G137" s="87">
        <v>2</v>
      </c>
      <c r="H137" s="87">
        <v>4</v>
      </c>
      <c r="I137" s="87">
        <f>E137+G137</f>
        <v>9</v>
      </c>
      <c r="J137" s="87">
        <f>F137+H137</f>
        <v>17</v>
      </c>
      <c r="K137" s="87">
        <v>3</v>
      </c>
      <c r="L137" s="87">
        <v>5</v>
      </c>
      <c r="M137" s="87">
        <v>5</v>
      </c>
      <c r="N137" s="87">
        <v>7</v>
      </c>
      <c r="O137" s="87">
        <f>E137*2+G137*3+K137</f>
        <v>23</v>
      </c>
      <c r="P137" s="87">
        <f>M137+N137</f>
        <v>12</v>
      </c>
      <c r="Q137" s="87">
        <v>2</v>
      </c>
      <c r="R137" s="87">
        <v>0</v>
      </c>
      <c r="S137" s="87">
        <v>0</v>
      </c>
      <c r="T137" s="87">
        <v>4</v>
      </c>
      <c r="U137" s="87">
        <v>0</v>
      </c>
      <c r="V137" s="88">
        <f>IFERROR(I137/J137,0)</f>
        <v>0.52941176470588236</v>
      </c>
      <c r="W137" s="88">
        <f>IFERROR(O137/(2*(J137+0.44*L137)), 0)</f>
        <v>0.59895833333333337</v>
      </c>
      <c r="X137" s="88">
        <f>IFERROR(K137/L137,0)</f>
        <v>0.6</v>
      </c>
      <c r="Y137" s="88">
        <f>IFERROR(E137/F137,0)</f>
        <v>0.53846153846153844</v>
      </c>
      <c r="Z137" s="88">
        <f>IFERROR(G137/H137,0)</f>
        <v>0.5</v>
      </c>
      <c r="AA137" s="89">
        <f>(O137)+(0.4*I137)-(0.7*J137)-(0.4*(L137-K137))+(0.7*M137)+(0.3*N137)+S137+(0.7*Q137)+(0.7*R137)-(0.4*U137)-T137</f>
        <v>16.900000000000002</v>
      </c>
      <c r="AB137" s="167" t="s">
        <v>27</v>
      </c>
    </row>
    <row r="138" spans="1:28" ht="39.950000000000003" customHeight="1" x14ac:dyDescent="0.5">
      <c r="A138" s="44" t="str">
        <f>A137</f>
        <v>Park City</v>
      </c>
      <c r="B138" s="44">
        <f>B137</f>
        <v>2</v>
      </c>
      <c r="C138" s="44">
        <f>C137</f>
        <v>6</v>
      </c>
      <c r="D138" s="86" t="s">
        <v>28</v>
      </c>
      <c r="E138" s="90">
        <v>5</v>
      </c>
      <c r="F138" s="90">
        <v>8</v>
      </c>
      <c r="G138" s="90">
        <v>2</v>
      </c>
      <c r="H138" s="90">
        <v>8</v>
      </c>
      <c r="I138" s="90">
        <f t="shared" ref="I138:J142" si="240">E138+G138</f>
        <v>7</v>
      </c>
      <c r="J138" s="90">
        <f t="shared" si="240"/>
        <v>16</v>
      </c>
      <c r="K138" s="90">
        <v>2</v>
      </c>
      <c r="L138" s="90">
        <v>4</v>
      </c>
      <c r="M138" s="90">
        <v>0</v>
      </c>
      <c r="N138" s="90">
        <v>5</v>
      </c>
      <c r="O138" s="90">
        <f t="shared" ref="O138:O142" si="241">E138*2+G138*3+K138</f>
        <v>18</v>
      </c>
      <c r="P138" s="90">
        <f t="shared" ref="P138:P142" si="242">M138+N138</f>
        <v>5</v>
      </c>
      <c r="Q138" s="90">
        <v>5</v>
      </c>
      <c r="R138" s="90">
        <v>0</v>
      </c>
      <c r="S138" s="90">
        <v>3</v>
      </c>
      <c r="T138" s="90">
        <v>1</v>
      </c>
      <c r="U138" s="90">
        <v>1</v>
      </c>
      <c r="V138" s="91">
        <f t="shared" ref="V138:V143" si="243">IFERROR(I138/J138,0)</f>
        <v>0.4375</v>
      </c>
      <c r="W138" s="91">
        <f t="shared" ref="W138:W143" si="244">IFERROR(O138/(2*(J138+0.44*L138)), 0)</f>
        <v>0.50675675675675669</v>
      </c>
      <c r="X138" s="91">
        <f t="shared" ref="X138:X143" si="245">IFERROR(K138/L138,0)</f>
        <v>0.5</v>
      </c>
      <c r="Y138" s="91">
        <f t="shared" ref="Y138:Y143" si="246">IFERROR(E138/F138,0)</f>
        <v>0.625</v>
      </c>
      <c r="Z138" s="91">
        <f t="shared" ref="Z138:Z143" si="247">IFERROR(G138/H138,0)</f>
        <v>0.25</v>
      </c>
      <c r="AA138" s="92">
        <f t="shared" ref="AA138:AA142" si="248">(O138)+(0.4*I138)-(0.7*J138)-(0.4*(L138-K138))+(0.7*M138)+(0.3*N138)+S138+(0.7*Q138)+(0.7*R138)-(0.4*U138)-T138</f>
        <v>15.400000000000002</v>
      </c>
      <c r="AB138" s="46" t="str">
        <f>AB137</f>
        <v>REG</v>
      </c>
    </row>
    <row r="139" spans="1:28" ht="39.950000000000003" customHeight="1" x14ac:dyDescent="0.5">
      <c r="A139" s="44" t="str">
        <f t="shared" ref="A139:C140" si="249">A138</f>
        <v>Park City</v>
      </c>
      <c r="B139" s="44">
        <f t="shared" si="249"/>
        <v>2</v>
      </c>
      <c r="C139" s="44">
        <f t="shared" si="249"/>
        <v>6</v>
      </c>
      <c r="D139" s="86" t="s">
        <v>29</v>
      </c>
      <c r="E139" s="93">
        <v>0</v>
      </c>
      <c r="F139" s="93">
        <v>1</v>
      </c>
      <c r="G139" s="93">
        <v>1</v>
      </c>
      <c r="H139" s="93">
        <v>4</v>
      </c>
      <c r="I139" s="93">
        <f t="shared" si="240"/>
        <v>1</v>
      </c>
      <c r="J139" s="93">
        <f t="shared" si="240"/>
        <v>5</v>
      </c>
      <c r="K139" s="93">
        <v>0</v>
      </c>
      <c r="L139" s="93">
        <v>0</v>
      </c>
      <c r="M139" s="93">
        <v>2</v>
      </c>
      <c r="N139" s="93">
        <v>7</v>
      </c>
      <c r="O139" s="93">
        <f t="shared" si="241"/>
        <v>3</v>
      </c>
      <c r="P139" s="93">
        <f t="shared" si="242"/>
        <v>9</v>
      </c>
      <c r="Q139" s="93">
        <v>4</v>
      </c>
      <c r="R139" s="93">
        <v>0</v>
      </c>
      <c r="S139" s="93">
        <v>3</v>
      </c>
      <c r="T139" s="93">
        <v>0</v>
      </c>
      <c r="U139" s="93">
        <v>1</v>
      </c>
      <c r="V139" s="94">
        <f t="shared" si="243"/>
        <v>0.2</v>
      </c>
      <c r="W139" s="94">
        <f t="shared" si="244"/>
        <v>0.3</v>
      </c>
      <c r="X139" s="94">
        <f t="shared" si="245"/>
        <v>0</v>
      </c>
      <c r="Y139" s="94">
        <f t="shared" si="246"/>
        <v>0</v>
      </c>
      <c r="Z139" s="94">
        <f t="shared" si="247"/>
        <v>0.25</v>
      </c>
      <c r="AA139" s="95">
        <f t="shared" si="248"/>
        <v>8.7999999999999989</v>
      </c>
      <c r="AB139" s="46" t="str">
        <f t="shared" ref="AB139:AB140" si="250">AB138</f>
        <v>REG</v>
      </c>
    </row>
    <row r="140" spans="1:28" ht="39.950000000000003" customHeight="1" x14ac:dyDescent="0.5">
      <c r="A140" s="44" t="str">
        <f t="shared" si="249"/>
        <v>Park City</v>
      </c>
      <c r="B140" s="44">
        <f t="shared" si="249"/>
        <v>2</v>
      </c>
      <c r="C140" s="44">
        <f t="shared" si="249"/>
        <v>6</v>
      </c>
      <c r="D140" s="86" t="s">
        <v>45</v>
      </c>
      <c r="E140" s="99">
        <v>1</v>
      </c>
      <c r="F140" s="99">
        <v>6</v>
      </c>
      <c r="G140" s="99">
        <v>4</v>
      </c>
      <c r="H140" s="99">
        <v>8</v>
      </c>
      <c r="I140" s="99">
        <f t="shared" si="240"/>
        <v>5</v>
      </c>
      <c r="J140" s="99">
        <f t="shared" si="240"/>
        <v>14</v>
      </c>
      <c r="K140" s="99">
        <v>0</v>
      </c>
      <c r="L140" s="99">
        <v>0</v>
      </c>
      <c r="M140" s="99">
        <v>6</v>
      </c>
      <c r="N140" s="99">
        <v>9</v>
      </c>
      <c r="O140" s="99">
        <f t="shared" si="241"/>
        <v>14</v>
      </c>
      <c r="P140" s="99">
        <f t="shared" si="242"/>
        <v>15</v>
      </c>
      <c r="Q140" s="99">
        <v>10</v>
      </c>
      <c r="R140" s="99">
        <v>2</v>
      </c>
      <c r="S140" s="99">
        <v>0</v>
      </c>
      <c r="T140" s="99">
        <v>1</v>
      </c>
      <c r="U140" s="99">
        <v>1</v>
      </c>
      <c r="V140" s="100">
        <f t="shared" si="243"/>
        <v>0.35714285714285715</v>
      </c>
      <c r="W140" s="100">
        <f t="shared" si="244"/>
        <v>0.5</v>
      </c>
      <c r="X140" s="100">
        <f t="shared" si="245"/>
        <v>0</v>
      </c>
      <c r="Y140" s="100">
        <f t="shared" si="246"/>
        <v>0.16666666666666666</v>
      </c>
      <c r="Z140" s="100">
        <f t="shared" si="247"/>
        <v>0.5</v>
      </c>
      <c r="AA140" s="101">
        <f t="shared" si="248"/>
        <v>20.100000000000001</v>
      </c>
      <c r="AB140" s="46" t="str">
        <f t="shared" si="250"/>
        <v>REG</v>
      </c>
    </row>
    <row r="141" spans="1:28" ht="39.950000000000003" customHeight="1" x14ac:dyDescent="0.5">
      <c r="A141" s="44" t="str">
        <f t="shared" ref="A141:C141" si="251">A139</f>
        <v>Park City</v>
      </c>
      <c r="B141" s="44">
        <f t="shared" si="251"/>
        <v>2</v>
      </c>
      <c r="C141" s="44">
        <f t="shared" si="251"/>
        <v>6</v>
      </c>
      <c r="D141" s="86" t="s">
        <v>51</v>
      </c>
      <c r="E141" s="102">
        <v>3</v>
      </c>
      <c r="F141" s="102">
        <v>6</v>
      </c>
      <c r="G141" s="102">
        <v>3</v>
      </c>
      <c r="H141" s="102">
        <v>7</v>
      </c>
      <c r="I141" s="102">
        <f t="shared" si="240"/>
        <v>6</v>
      </c>
      <c r="J141" s="102">
        <f t="shared" si="240"/>
        <v>13</v>
      </c>
      <c r="K141" s="102">
        <v>1</v>
      </c>
      <c r="L141" s="102">
        <v>2</v>
      </c>
      <c r="M141" s="102">
        <v>3</v>
      </c>
      <c r="N141" s="102">
        <v>5</v>
      </c>
      <c r="O141" s="102">
        <f t="shared" si="241"/>
        <v>16</v>
      </c>
      <c r="P141" s="102">
        <f t="shared" si="242"/>
        <v>8</v>
      </c>
      <c r="Q141" s="102">
        <v>0</v>
      </c>
      <c r="R141" s="102">
        <v>1</v>
      </c>
      <c r="S141" s="102">
        <v>0</v>
      </c>
      <c r="T141" s="102">
        <v>4</v>
      </c>
      <c r="U141" s="102">
        <v>1</v>
      </c>
      <c r="V141" s="103">
        <f t="shared" si="243"/>
        <v>0.46153846153846156</v>
      </c>
      <c r="W141" s="103">
        <f t="shared" si="244"/>
        <v>0.57636887608069165</v>
      </c>
      <c r="X141" s="103">
        <f t="shared" si="245"/>
        <v>0.5</v>
      </c>
      <c r="Y141" s="103">
        <f t="shared" si="246"/>
        <v>0.5</v>
      </c>
      <c r="Z141" s="103">
        <f t="shared" si="247"/>
        <v>0.42857142857142855</v>
      </c>
      <c r="AA141" s="104">
        <f t="shared" si="248"/>
        <v>8.7999999999999972</v>
      </c>
      <c r="AB141" s="46" t="str">
        <f>AB140</f>
        <v>REG</v>
      </c>
    </row>
    <row r="142" spans="1:28" ht="39.950000000000003" customHeight="1" x14ac:dyDescent="0.5">
      <c r="A142" s="44" t="str">
        <f>A141</f>
        <v>Park City</v>
      </c>
      <c r="B142" s="44">
        <f t="shared" ref="B142:C142" si="252">B141</f>
        <v>2</v>
      </c>
      <c r="C142" s="44">
        <f t="shared" si="252"/>
        <v>6</v>
      </c>
      <c r="D142" s="86" t="s">
        <v>41</v>
      </c>
      <c r="E142" s="163">
        <v>0</v>
      </c>
      <c r="F142" s="163">
        <v>1</v>
      </c>
      <c r="G142" s="163">
        <v>2</v>
      </c>
      <c r="H142" s="163">
        <v>8</v>
      </c>
      <c r="I142" s="163">
        <f t="shared" si="240"/>
        <v>2</v>
      </c>
      <c r="J142" s="163">
        <f t="shared" si="240"/>
        <v>9</v>
      </c>
      <c r="K142" s="163">
        <v>0</v>
      </c>
      <c r="L142" s="163">
        <v>0</v>
      </c>
      <c r="M142" s="163">
        <v>2</v>
      </c>
      <c r="N142" s="163">
        <v>2</v>
      </c>
      <c r="O142" s="163">
        <f t="shared" si="241"/>
        <v>6</v>
      </c>
      <c r="P142" s="163">
        <f t="shared" si="242"/>
        <v>4</v>
      </c>
      <c r="Q142" s="163">
        <v>2</v>
      </c>
      <c r="R142" s="163">
        <v>0</v>
      </c>
      <c r="S142" s="163">
        <v>1</v>
      </c>
      <c r="T142" s="163">
        <v>0</v>
      </c>
      <c r="U142" s="163">
        <v>0</v>
      </c>
      <c r="V142" s="164">
        <f t="shared" si="243"/>
        <v>0.22222222222222221</v>
      </c>
      <c r="W142" s="164">
        <f t="shared" si="244"/>
        <v>0.33333333333333331</v>
      </c>
      <c r="X142" s="164">
        <f t="shared" si="245"/>
        <v>0</v>
      </c>
      <c r="Y142" s="164">
        <f t="shared" si="246"/>
        <v>0</v>
      </c>
      <c r="Z142" s="164">
        <f t="shared" si="247"/>
        <v>0.25</v>
      </c>
      <c r="AA142" s="165">
        <f t="shared" si="248"/>
        <v>4.9000000000000004</v>
      </c>
      <c r="AB142" s="46" t="str">
        <f>AB141</f>
        <v>REG</v>
      </c>
    </row>
    <row r="143" spans="1:28" ht="39.950000000000003" customHeight="1" x14ac:dyDescent="0.5">
      <c r="A143" s="44" t="str">
        <f>A140</f>
        <v>Park City</v>
      </c>
      <c r="B143" s="44">
        <f>B140</f>
        <v>2</v>
      </c>
      <c r="C143" s="44">
        <f>C140</f>
        <v>6</v>
      </c>
      <c r="D143" s="86" t="s">
        <v>32</v>
      </c>
      <c r="E143" s="105">
        <f>SUM(E137:E142)</f>
        <v>16</v>
      </c>
      <c r="F143" s="105">
        <f t="shared" ref="F143:U143" si="253">SUM(F137:F142)</f>
        <v>35</v>
      </c>
      <c r="G143" s="105">
        <f t="shared" si="253"/>
        <v>14</v>
      </c>
      <c r="H143" s="105">
        <f t="shared" si="253"/>
        <v>39</v>
      </c>
      <c r="I143" s="105">
        <f t="shared" si="253"/>
        <v>30</v>
      </c>
      <c r="J143" s="105">
        <f t="shared" si="253"/>
        <v>74</v>
      </c>
      <c r="K143" s="105">
        <f t="shared" si="253"/>
        <v>6</v>
      </c>
      <c r="L143" s="105">
        <f t="shared" si="253"/>
        <v>11</v>
      </c>
      <c r="M143" s="105">
        <f t="shared" si="253"/>
        <v>18</v>
      </c>
      <c r="N143" s="105">
        <f t="shared" si="253"/>
        <v>35</v>
      </c>
      <c r="O143" s="105">
        <f t="shared" si="253"/>
        <v>80</v>
      </c>
      <c r="P143" s="105">
        <f t="shared" si="253"/>
        <v>53</v>
      </c>
      <c r="Q143" s="105">
        <f t="shared" si="253"/>
        <v>23</v>
      </c>
      <c r="R143" s="105">
        <f t="shared" si="253"/>
        <v>3</v>
      </c>
      <c r="S143" s="105">
        <f t="shared" si="253"/>
        <v>7</v>
      </c>
      <c r="T143" s="105">
        <f t="shared" si="253"/>
        <v>10</v>
      </c>
      <c r="U143" s="105">
        <f t="shared" si="253"/>
        <v>4</v>
      </c>
      <c r="V143" s="106">
        <f t="shared" si="243"/>
        <v>0.40540540540540543</v>
      </c>
      <c r="W143" s="106">
        <f t="shared" si="244"/>
        <v>0.50735667174023336</v>
      </c>
      <c r="X143" s="106">
        <f t="shared" si="245"/>
        <v>0.54545454545454541</v>
      </c>
      <c r="Y143" s="106">
        <f t="shared" si="246"/>
        <v>0.45714285714285713</v>
      </c>
      <c r="Z143" s="106">
        <f t="shared" si="247"/>
        <v>0.35897435897435898</v>
      </c>
      <c r="AA143" s="107">
        <f>AVERAGE(AA137:AA142)</f>
        <v>12.483333333333334</v>
      </c>
      <c r="AB143" s="46" t="str">
        <f>AB141</f>
        <v>REG</v>
      </c>
    </row>
    <row r="144" spans="1:28" ht="39.950000000000003" customHeight="1" x14ac:dyDescent="0.55000000000000004">
      <c r="A144" s="44" t="s">
        <v>33</v>
      </c>
      <c r="B144" s="44">
        <f t="shared" ref="B144:C144" si="254">B143</f>
        <v>2</v>
      </c>
      <c r="C144" s="44">
        <f t="shared" si="254"/>
        <v>6</v>
      </c>
      <c r="D144" s="158" t="s">
        <v>59</v>
      </c>
      <c r="E144" s="83"/>
      <c r="F144" s="83"/>
      <c r="G144" s="83"/>
      <c r="H144" s="83"/>
      <c r="I144" s="83"/>
      <c r="J144" s="83"/>
      <c r="K144" s="83"/>
      <c r="L144" s="83"/>
      <c r="M144" s="83"/>
      <c r="N144" s="83"/>
      <c r="O144" s="83">
        <v>56</v>
      </c>
      <c r="P144" s="83"/>
      <c r="Q144" s="83"/>
      <c r="R144" s="83"/>
      <c r="S144" s="83"/>
      <c r="T144" s="83"/>
      <c r="U144" s="83"/>
      <c r="V144" s="83"/>
      <c r="W144" s="83"/>
      <c r="X144" s="83"/>
      <c r="Y144" s="83"/>
      <c r="Z144" s="83"/>
      <c r="AA144" s="83"/>
      <c r="AB144" s="46" t="str">
        <f>AB143</f>
        <v>REG</v>
      </c>
    </row>
    <row r="145" spans="1:28" ht="39.950000000000003" customHeight="1" x14ac:dyDescent="0.5">
      <c r="A145" s="44" t="str">
        <f>D152</f>
        <v>Killer Barbies</v>
      </c>
      <c r="B145" s="44">
        <v>2</v>
      </c>
      <c r="C145" s="44">
        <v>7</v>
      </c>
      <c r="D145" s="86" t="s">
        <v>36</v>
      </c>
      <c r="E145" s="87">
        <v>4</v>
      </c>
      <c r="F145" s="87">
        <v>9</v>
      </c>
      <c r="G145" s="87">
        <v>2</v>
      </c>
      <c r="H145" s="87">
        <v>4</v>
      </c>
      <c r="I145" s="87">
        <f>E145+G145</f>
        <v>6</v>
      </c>
      <c r="J145" s="87">
        <f>F145+H145</f>
        <v>13</v>
      </c>
      <c r="K145" s="87">
        <v>1</v>
      </c>
      <c r="L145" s="87">
        <v>4</v>
      </c>
      <c r="M145" s="87">
        <v>4</v>
      </c>
      <c r="N145" s="87">
        <v>0</v>
      </c>
      <c r="O145" s="87">
        <f>E145*2+G145*3+K145</f>
        <v>15</v>
      </c>
      <c r="P145" s="87">
        <f>M145+N145</f>
        <v>4</v>
      </c>
      <c r="Q145" s="87">
        <v>2</v>
      </c>
      <c r="R145" s="87">
        <v>0</v>
      </c>
      <c r="S145" s="87">
        <v>0</v>
      </c>
      <c r="T145" s="87">
        <v>3</v>
      </c>
      <c r="U145" s="87">
        <v>1</v>
      </c>
      <c r="V145" s="88">
        <f>IFERROR(I145/J145,0)</f>
        <v>0.46153846153846156</v>
      </c>
      <c r="W145" s="88">
        <f>IFERROR(O145/(2*(J145+0.44*L145)), 0)</f>
        <v>0.50813008130081305</v>
      </c>
      <c r="X145" s="88">
        <f>IFERROR(K145/L145,0)</f>
        <v>0.25</v>
      </c>
      <c r="Y145" s="88">
        <f>IFERROR(E145/F145,0)</f>
        <v>0.44444444444444442</v>
      </c>
      <c r="Z145" s="88">
        <f>IFERROR(G145/H145,0)</f>
        <v>0.5</v>
      </c>
      <c r="AA145" s="89">
        <f>(O145)+(0.4*I145)-(0.7*J145)-(0.4*(L145-K145))+(0.7*M145)+(0.3*N145)+S145+(0.7*Q145)+(0.7*R145)-(0.4*U145)-T145</f>
        <v>7.8999999999999986</v>
      </c>
      <c r="AB145" s="167" t="s">
        <v>27</v>
      </c>
    </row>
    <row r="146" spans="1:28" ht="39.950000000000003" customHeight="1" x14ac:dyDescent="0.5">
      <c r="A146" s="44" t="str">
        <f>A145</f>
        <v>Killer Barbies</v>
      </c>
      <c r="B146" s="44">
        <f>B145</f>
        <v>2</v>
      </c>
      <c r="C146" s="44">
        <f>C145</f>
        <v>7</v>
      </c>
      <c r="D146" s="86" t="s">
        <v>28</v>
      </c>
      <c r="E146" s="90">
        <v>7</v>
      </c>
      <c r="F146" s="90">
        <v>10</v>
      </c>
      <c r="G146" s="90">
        <v>1</v>
      </c>
      <c r="H146" s="90">
        <v>6</v>
      </c>
      <c r="I146" s="90">
        <f t="shared" ref="I146:J150" si="255">E146+G146</f>
        <v>8</v>
      </c>
      <c r="J146" s="90">
        <f t="shared" si="255"/>
        <v>16</v>
      </c>
      <c r="K146" s="90">
        <v>1</v>
      </c>
      <c r="L146" s="90">
        <v>1</v>
      </c>
      <c r="M146" s="90">
        <v>1</v>
      </c>
      <c r="N146" s="90">
        <v>2</v>
      </c>
      <c r="O146" s="90">
        <f t="shared" ref="O146:O150" si="256">E146*2+G146*3+K146</f>
        <v>18</v>
      </c>
      <c r="P146" s="90">
        <f t="shared" ref="P146:P150" si="257">M146+N146</f>
        <v>3</v>
      </c>
      <c r="Q146" s="90">
        <v>1</v>
      </c>
      <c r="R146" s="90">
        <v>2</v>
      </c>
      <c r="S146" s="90">
        <v>3</v>
      </c>
      <c r="T146" s="90">
        <v>1</v>
      </c>
      <c r="U146" s="90">
        <v>0</v>
      </c>
      <c r="V146" s="91">
        <f t="shared" ref="V146:V151" si="258">IFERROR(I146/J146,0)</f>
        <v>0.5</v>
      </c>
      <c r="W146" s="91">
        <f t="shared" ref="W146:W151" si="259">IFERROR(O146/(2*(J146+0.44*L146)), 0)</f>
        <v>0.54744525547445255</v>
      </c>
      <c r="X146" s="91">
        <f t="shared" ref="X146:X151" si="260">IFERROR(K146/L146,0)</f>
        <v>1</v>
      </c>
      <c r="Y146" s="91">
        <f t="shared" ref="Y146:Y151" si="261">IFERROR(E146/F146,0)</f>
        <v>0.7</v>
      </c>
      <c r="Z146" s="91">
        <f t="shared" ref="Z146:Z151" si="262">IFERROR(G146/H146,0)</f>
        <v>0.16666666666666666</v>
      </c>
      <c r="AA146" s="92">
        <f t="shared" ref="AA146:AA150" si="263">(O146)+(0.4*I146)-(0.7*J146)-(0.4*(L146-K146))+(0.7*M146)+(0.3*N146)+S146+(0.7*Q146)+(0.7*R146)-(0.4*U146)-T146</f>
        <v>15.399999999999999</v>
      </c>
      <c r="AB146" s="46" t="str">
        <f>AB145</f>
        <v>REG</v>
      </c>
    </row>
    <row r="147" spans="1:28" ht="39.950000000000003" customHeight="1" x14ac:dyDescent="0.5">
      <c r="A147" s="44" t="str">
        <f t="shared" ref="A147:C148" si="264">A146</f>
        <v>Killer Barbies</v>
      </c>
      <c r="B147" s="44">
        <f t="shared" si="264"/>
        <v>2</v>
      </c>
      <c r="C147" s="44">
        <f t="shared" si="264"/>
        <v>7</v>
      </c>
      <c r="D147" s="86" t="s">
        <v>29</v>
      </c>
      <c r="E147" s="93">
        <v>0</v>
      </c>
      <c r="F147" s="93">
        <v>0</v>
      </c>
      <c r="G147" s="93">
        <v>0</v>
      </c>
      <c r="H147" s="93">
        <v>0</v>
      </c>
      <c r="I147" s="93">
        <f t="shared" si="255"/>
        <v>0</v>
      </c>
      <c r="J147" s="93">
        <f t="shared" si="255"/>
        <v>0</v>
      </c>
      <c r="K147" s="93">
        <v>0</v>
      </c>
      <c r="L147" s="93">
        <v>0</v>
      </c>
      <c r="M147" s="93">
        <v>0</v>
      </c>
      <c r="N147" s="93">
        <v>2</v>
      </c>
      <c r="O147" s="93">
        <f t="shared" si="256"/>
        <v>0</v>
      </c>
      <c r="P147" s="93">
        <f t="shared" si="257"/>
        <v>2</v>
      </c>
      <c r="Q147" s="93">
        <v>3</v>
      </c>
      <c r="R147" s="93">
        <v>0</v>
      </c>
      <c r="S147" s="93">
        <v>0</v>
      </c>
      <c r="T147" s="93">
        <v>0</v>
      </c>
      <c r="U147" s="93">
        <v>2</v>
      </c>
      <c r="V147" s="94">
        <f t="shared" si="258"/>
        <v>0</v>
      </c>
      <c r="W147" s="94">
        <f t="shared" si="259"/>
        <v>0</v>
      </c>
      <c r="X147" s="94">
        <f t="shared" si="260"/>
        <v>0</v>
      </c>
      <c r="Y147" s="94">
        <f t="shared" si="261"/>
        <v>0</v>
      </c>
      <c r="Z147" s="94">
        <f t="shared" si="262"/>
        <v>0</v>
      </c>
      <c r="AA147" s="95">
        <f t="shared" si="263"/>
        <v>1.8999999999999997</v>
      </c>
      <c r="AB147" s="46" t="str">
        <f t="shared" ref="AB147:AB148" si="265">AB146</f>
        <v>REG</v>
      </c>
    </row>
    <row r="148" spans="1:28" ht="39.950000000000003" customHeight="1" x14ac:dyDescent="0.5">
      <c r="A148" s="44" t="str">
        <f t="shared" si="264"/>
        <v>Killer Barbies</v>
      </c>
      <c r="B148" s="44">
        <f t="shared" si="264"/>
        <v>2</v>
      </c>
      <c r="C148" s="44">
        <f t="shared" si="264"/>
        <v>7</v>
      </c>
      <c r="D148" s="86" t="s">
        <v>45</v>
      </c>
      <c r="E148" s="99">
        <v>4</v>
      </c>
      <c r="F148" s="99">
        <v>10</v>
      </c>
      <c r="G148" s="99">
        <v>1</v>
      </c>
      <c r="H148" s="99">
        <v>5</v>
      </c>
      <c r="I148" s="99">
        <f t="shared" si="255"/>
        <v>5</v>
      </c>
      <c r="J148" s="99">
        <f t="shared" si="255"/>
        <v>15</v>
      </c>
      <c r="K148" s="99">
        <v>2</v>
      </c>
      <c r="L148" s="99">
        <v>4</v>
      </c>
      <c r="M148" s="99">
        <v>4</v>
      </c>
      <c r="N148" s="99">
        <v>13</v>
      </c>
      <c r="O148" s="99">
        <f t="shared" si="256"/>
        <v>13</v>
      </c>
      <c r="P148" s="99">
        <f t="shared" si="257"/>
        <v>17</v>
      </c>
      <c r="Q148" s="99">
        <v>3</v>
      </c>
      <c r="R148" s="99">
        <v>0</v>
      </c>
      <c r="S148" s="99">
        <v>1</v>
      </c>
      <c r="T148" s="99">
        <v>3</v>
      </c>
      <c r="U148" s="99">
        <v>2</v>
      </c>
      <c r="V148" s="100">
        <f t="shared" si="258"/>
        <v>0.33333333333333331</v>
      </c>
      <c r="W148" s="100">
        <f t="shared" si="259"/>
        <v>0.3878281622911694</v>
      </c>
      <c r="X148" s="100">
        <f t="shared" si="260"/>
        <v>0.5</v>
      </c>
      <c r="Y148" s="100">
        <f t="shared" si="261"/>
        <v>0.4</v>
      </c>
      <c r="Z148" s="100">
        <f t="shared" si="262"/>
        <v>0.2</v>
      </c>
      <c r="AA148" s="101">
        <f t="shared" si="263"/>
        <v>9.6999999999999993</v>
      </c>
      <c r="AB148" s="46" t="str">
        <f t="shared" si="265"/>
        <v>REG</v>
      </c>
    </row>
    <row r="149" spans="1:28" ht="39.950000000000003" customHeight="1" x14ac:dyDescent="0.5">
      <c r="A149" s="44" t="str">
        <f t="shared" ref="A149:C149" si="266">A147</f>
        <v>Killer Barbies</v>
      </c>
      <c r="B149" s="44">
        <f t="shared" si="266"/>
        <v>2</v>
      </c>
      <c r="C149" s="44">
        <f t="shared" si="266"/>
        <v>7</v>
      </c>
      <c r="D149" s="86" t="s">
        <v>51</v>
      </c>
      <c r="E149" s="102">
        <v>1</v>
      </c>
      <c r="F149" s="102">
        <v>11</v>
      </c>
      <c r="G149" s="102">
        <v>0</v>
      </c>
      <c r="H149" s="102">
        <v>4</v>
      </c>
      <c r="I149" s="102">
        <f t="shared" si="255"/>
        <v>1</v>
      </c>
      <c r="J149" s="102">
        <f t="shared" si="255"/>
        <v>15</v>
      </c>
      <c r="K149" s="102">
        <v>3</v>
      </c>
      <c r="L149" s="102">
        <v>3</v>
      </c>
      <c r="M149" s="102">
        <v>5</v>
      </c>
      <c r="N149" s="102">
        <v>8</v>
      </c>
      <c r="O149" s="102">
        <f t="shared" si="256"/>
        <v>5</v>
      </c>
      <c r="P149" s="102">
        <f t="shared" si="257"/>
        <v>13</v>
      </c>
      <c r="Q149" s="102">
        <v>0</v>
      </c>
      <c r="R149" s="102">
        <v>1</v>
      </c>
      <c r="S149" s="102">
        <v>1</v>
      </c>
      <c r="T149" s="102">
        <v>2</v>
      </c>
      <c r="U149" s="102">
        <v>3</v>
      </c>
      <c r="V149" s="103">
        <f t="shared" si="258"/>
        <v>6.6666666666666666E-2</v>
      </c>
      <c r="W149" s="103">
        <f t="shared" si="259"/>
        <v>0.15318627450980393</v>
      </c>
      <c r="X149" s="103">
        <f t="shared" si="260"/>
        <v>1</v>
      </c>
      <c r="Y149" s="103">
        <f t="shared" si="261"/>
        <v>9.0909090909090912E-2</v>
      </c>
      <c r="Z149" s="103">
        <f t="shared" si="262"/>
        <v>0</v>
      </c>
      <c r="AA149" s="104">
        <f t="shared" si="263"/>
        <v>-0.70000000000000018</v>
      </c>
      <c r="AB149" s="46" t="str">
        <f>AB148</f>
        <v>REG</v>
      </c>
    </row>
    <row r="150" spans="1:28" ht="39.950000000000003" customHeight="1" x14ac:dyDescent="0.5">
      <c r="A150" s="44" t="str">
        <f>A149</f>
        <v>Killer Barbies</v>
      </c>
      <c r="B150" s="44">
        <f t="shared" ref="B150:C150" si="267">B149</f>
        <v>2</v>
      </c>
      <c r="C150" s="44">
        <f t="shared" si="267"/>
        <v>7</v>
      </c>
      <c r="D150" s="86" t="s">
        <v>41</v>
      </c>
      <c r="E150" s="163">
        <v>0</v>
      </c>
      <c r="F150" s="163">
        <v>1</v>
      </c>
      <c r="G150" s="163">
        <v>1</v>
      </c>
      <c r="H150" s="163">
        <v>3</v>
      </c>
      <c r="I150" s="163">
        <f t="shared" si="255"/>
        <v>1</v>
      </c>
      <c r="J150" s="163">
        <f t="shared" si="255"/>
        <v>4</v>
      </c>
      <c r="K150" s="163">
        <v>0</v>
      </c>
      <c r="L150" s="163">
        <v>0</v>
      </c>
      <c r="M150" s="163">
        <v>1</v>
      </c>
      <c r="N150" s="163">
        <v>0</v>
      </c>
      <c r="O150" s="163">
        <f t="shared" si="256"/>
        <v>3</v>
      </c>
      <c r="P150" s="163">
        <f t="shared" si="257"/>
        <v>1</v>
      </c>
      <c r="Q150" s="163">
        <v>2</v>
      </c>
      <c r="R150" s="163">
        <v>0</v>
      </c>
      <c r="S150" s="163">
        <v>0</v>
      </c>
      <c r="T150" s="163">
        <v>0</v>
      </c>
      <c r="U150" s="163">
        <v>0</v>
      </c>
      <c r="V150" s="164">
        <f t="shared" si="258"/>
        <v>0.25</v>
      </c>
      <c r="W150" s="164">
        <f t="shared" si="259"/>
        <v>0.375</v>
      </c>
      <c r="X150" s="164">
        <f t="shared" si="260"/>
        <v>0</v>
      </c>
      <c r="Y150" s="164">
        <f t="shared" si="261"/>
        <v>0</v>
      </c>
      <c r="Z150" s="164">
        <f t="shared" si="262"/>
        <v>0.33333333333333331</v>
      </c>
      <c r="AA150" s="165">
        <f t="shared" si="263"/>
        <v>2.7</v>
      </c>
      <c r="AB150" s="46" t="str">
        <f>AB149</f>
        <v>REG</v>
      </c>
    </row>
    <row r="151" spans="1:28" ht="39.950000000000003" customHeight="1" x14ac:dyDescent="0.5">
      <c r="A151" s="44" t="str">
        <f>A148</f>
        <v>Killer Barbies</v>
      </c>
      <c r="B151" s="44">
        <f>B148</f>
        <v>2</v>
      </c>
      <c r="C151" s="44">
        <f>C148</f>
        <v>7</v>
      </c>
      <c r="D151" s="86" t="s">
        <v>32</v>
      </c>
      <c r="E151" s="105">
        <f>SUM(E145:E150)</f>
        <v>16</v>
      </c>
      <c r="F151" s="105">
        <f t="shared" ref="F151:U151" si="268">SUM(F145:F150)</f>
        <v>41</v>
      </c>
      <c r="G151" s="105">
        <f t="shared" si="268"/>
        <v>5</v>
      </c>
      <c r="H151" s="105">
        <f t="shared" si="268"/>
        <v>22</v>
      </c>
      <c r="I151" s="105">
        <f t="shared" si="268"/>
        <v>21</v>
      </c>
      <c r="J151" s="105">
        <f t="shared" si="268"/>
        <v>63</v>
      </c>
      <c r="K151" s="105">
        <f t="shared" si="268"/>
        <v>7</v>
      </c>
      <c r="L151" s="105">
        <f t="shared" si="268"/>
        <v>12</v>
      </c>
      <c r="M151" s="105">
        <f t="shared" si="268"/>
        <v>15</v>
      </c>
      <c r="N151" s="105">
        <f t="shared" si="268"/>
        <v>25</v>
      </c>
      <c r="O151" s="105">
        <f t="shared" si="268"/>
        <v>54</v>
      </c>
      <c r="P151" s="105">
        <f t="shared" si="268"/>
        <v>40</v>
      </c>
      <c r="Q151" s="105">
        <f t="shared" si="268"/>
        <v>11</v>
      </c>
      <c r="R151" s="105">
        <f t="shared" si="268"/>
        <v>3</v>
      </c>
      <c r="S151" s="105">
        <f t="shared" si="268"/>
        <v>5</v>
      </c>
      <c r="T151" s="105">
        <f t="shared" si="268"/>
        <v>9</v>
      </c>
      <c r="U151" s="105">
        <f t="shared" si="268"/>
        <v>8</v>
      </c>
      <c r="V151" s="106">
        <f t="shared" si="258"/>
        <v>0.33333333333333331</v>
      </c>
      <c r="W151" s="106">
        <f t="shared" si="259"/>
        <v>0.39543057996485059</v>
      </c>
      <c r="X151" s="106">
        <f t="shared" si="260"/>
        <v>0.58333333333333337</v>
      </c>
      <c r="Y151" s="106">
        <f t="shared" si="261"/>
        <v>0.3902439024390244</v>
      </c>
      <c r="Z151" s="106">
        <f t="shared" si="262"/>
        <v>0.22727272727272727</v>
      </c>
      <c r="AA151" s="107">
        <f>AVERAGE(AA145:AA150)</f>
        <v>6.1499999999999986</v>
      </c>
      <c r="AB151" s="46" t="str">
        <f>AB149</f>
        <v>REG</v>
      </c>
    </row>
    <row r="152" spans="1:28" ht="39.950000000000003" customHeight="1" x14ac:dyDescent="0.55000000000000004">
      <c r="A152" s="44" t="s">
        <v>33</v>
      </c>
      <c r="B152" s="44">
        <f t="shared" ref="B152:C152" si="269">B151</f>
        <v>2</v>
      </c>
      <c r="C152" s="44">
        <f t="shared" si="269"/>
        <v>7</v>
      </c>
      <c r="D152" s="82" t="s">
        <v>56</v>
      </c>
      <c r="E152" s="83"/>
      <c r="F152" s="83"/>
      <c r="G152" s="83"/>
      <c r="H152" s="83"/>
      <c r="I152" s="83"/>
      <c r="J152" s="83"/>
      <c r="K152" s="83"/>
      <c r="L152" s="83"/>
      <c r="M152" s="83"/>
      <c r="N152" s="83"/>
      <c r="O152" s="83">
        <v>55</v>
      </c>
      <c r="P152" s="83"/>
      <c r="Q152" s="83"/>
      <c r="R152" s="83"/>
      <c r="S152" s="83"/>
      <c r="T152" s="83"/>
      <c r="U152" s="83"/>
      <c r="V152" s="83"/>
      <c r="W152" s="83"/>
      <c r="X152" s="83"/>
      <c r="Y152" s="83"/>
      <c r="Z152" s="83"/>
      <c r="AA152" s="83"/>
      <c r="AB152" s="46" t="str">
        <f>AB151</f>
        <v>REG</v>
      </c>
    </row>
    <row r="153" spans="1:28" ht="39.950000000000003" customHeight="1" x14ac:dyDescent="0.5">
      <c r="A153" s="44" t="str">
        <f>D160</f>
        <v>Sister In-Laws</v>
      </c>
      <c r="B153" s="44">
        <v>2</v>
      </c>
      <c r="C153" s="44">
        <v>8</v>
      </c>
      <c r="D153" s="86" t="s">
        <v>36</v>
      </c>
      <c r="E153" s="87">
        <v>9</v>
      </c>
      <c r="F153" s="87">
        <v>13</v>
      </c>
      <c r="G153" s="87">
        <v>2</v>
      </c>
      <c r="H153" s="87">
        <v>6</v>
      </c>
      <c r="I153" s="87">
        <f>E153+G153</f>
        <v>11</v>
      </c>
      <c r="J153" s="87">
        <f>F153+H153</f>
        <v>19</v>
      </c>
      <c r="K153" s="87">
        <v>1</v>
      </c>
      <c r="L153" s="87">
        <v>1</v>
      </c>
      <c r="M153" s="87">
        <v>2</v>
      </c>
      <c r="N153" s="87">
        <v>2</v>
      </c>
      <c r="O153" s="87">
        <f>E153*2+G153*3+K153</f>
        <v>25</v>
      </c>
      <c r="P153" s="87">
        <f>M153+N153</f>
        <v>4</v>
      </c>
      <c r="Q153" s="87">
        <v>3</v>
      </c>
      <c r="R153" s="87">
        <v>0</v>
      </c>
      <c r="S153" s="87">
        <v>2</v>
      </c>
      <c r="T153" s="87">
        <v>5</v>
      </c>
      <c r="U153" s="87">
        <v>0</v>
      </c>
      <c r="V153" s="88">
        <f>IFERROR(I153/J153,0)</f>
        <v>0.57894736842105265</v>
      </c>
      <c r="W153" s="88">
        <f>IFERROR(O153/(2*(J153+0.44*L153)), 0)</f>
        <v>0.64300411522633738</v>
      </c>
      <c r="X153" s="88">
        <f>IFERROR(K153/L153,0)</f>
        <v>1</v>
      </c>
      <c r="Y153" s="88">
        <f>IFERROR(E153/F153,0)</f>
        <v>0.69230769230769229</v>
      </c>
      <c r="Z153" s="88">
        <f>IFERROR(G153/H153,0)</f>
        <v>0.33333333333333331</v>
      </c>
      <c r="AA153" s="89">
        <f>(O153)+(0.4*I153)-(0.7*J153)-(0.4*(L153-K153))+(0.7*M153)+(0.3*N153)+S153+(0.7*Q153)+(0.7*R153)-(0.4*U153)-T153</f>
        <v>17.200000000000003</v>
      </c>
      <c r="AB153" s="167" t="s">
        <v>27</v>
      </c>
    </row>
    <row r="154" spans="1:28" ht="39.950000000000003" customHeight="1" x14ac:dyDescent="0.5">
      <c r="A154" s="44" t="str">
        <f>A153</f>
        <v>Sister In-Laws</v>
      </c>
      <c r="B154" s="44">
        <f>B153</f>
        <v>2</v>
      </c>
      <c r="C154" s="44">
        <f>C153</f>
        <v>8</v>
      </c>
      <c r="D154" s="86" t="s">
        <v>28</v>
      </c>
      <c r="E154" s="90">
        <v>4</v>
      </c>
      <c r="F154" s="90">
        <v>7</v>
      </c>
      <c r="G154" s="90">
        <v>1</v>
      </c>
      <c r="H154" s="90">
        <v>7</v>
      </c>
      <c r="I154" s="90">
        <f t="shared" ref="I154:J158" si="270">E154+G154</f>
        <v>5</v>
      </c>
      <c r="J154" s="90">
        <f t="shared" si="270"/>
        <v>14</v>
      </c>
      <c r="K154" s="90">
        <v>1</v>
      </c>
      <c r="L154" s="90">
        <v>2</v>
      </c>
      <c r="M154" s="90">
        <v>0</v>
      </c>
      <c r="N154" s="90">
        <v>3</v>
      </c>
      <c r="O154" s="90">
        <f t="shared" ref="O154:O158" si="271">E154*2+G154*3+K154</f>
        <v>12</v>
      </c>
      <c r="P154" s="90">
        <f t="shared" ref="P154:P158" si="272">M154+N154</f>
        <v>3</v>
      </c>
      <c r="Q154" s="90">
        <v>2</v>
      </c>
      <c r="R154" s="90">
        <v>0</v>
      </c>
      <c r="S154" s="90">
        <v>3</v>
      </c>
      <c r="T154" s="90">
        <v>0</v>
      </c>
      <c r="U154" s="90">
        <v>3</v>
      </c>
      <c r="V154" s="91">
        <f t="shared" ref="V154:V159" si="273">IFERROR(I154/J154,0)</f>
        <v>0.35714285714285715</v>
      </c>
      <c r="W154" s="91">
        <f t="shared" ref="W154:W159" si="274">IFERROR(O154/(2*(J154+0.44*L154)), 0)</f>
        <v>0.40322580645161288</v>
      </c>
      <c r="X154" s="91">
        <f t="shared" ref="X154:X159" si="275">IFERROR(K154/L154,0)</f>
        <v>0.5</v>
      </c>
      <c r="Y154" s="91">
        <f t="shared" ref="Y154:Y159" si="276">IFERROR(E154/F154,0)</f>
        <v>0.5714285714285714</v>
      </c>
      <c r="Z154" s="91">
        <f t="shared" ref="Z154:Z159" si="277">IFERROR(G154/H154,0)</f>
        <v>0.14285714285714285</v>
      </c>
      <c r="AA154" s="92">
        <f t="shared" ref="AA154:AA158" si="278">(O154)+(0.4*I154)-(0.7*J154)-(0.4*(L154-K154))+(0.7*M154)+(0.3*N154)+S154+(0.7*Q154)+(0.7*R154)-(0.4*U154)-T154</f>
        <v>7.9000000000000012</v>
      </c>
      <c r="AB154" s="46" t="str">
        <f>AB153</f>
        <v>REG</v>
      </c>
    </row>
    <row r="155" spans="1:28" ht="39.950000000000003" customHeight="1" x14ac:dyDescent="0.5">
      <c r="A155" s="44" t="str">
        <f t="shared" ref="A155:C156" si="279">A154</f>
        <v>Sister In-Laws</v>
      </c>
      <c r="B155" s="44">
        <f t="shared" si="279"/>
        <v>2</v>
      </c>
      <c r="C155" s="44">
        <f t="shared" si="279"/>
        <v>8</v>
      </c>
      <c r="D155" s="86" t="s">
        <v>29</v>
      </c>
      <c r="E155" s="93">
        <v>0</v>
      </c>
      <c r="F155" s="93">
        <v>0</v>
      </c>
      <c r="G155" s="93">
        <v>1</v>
      </c>
      <c r="H155" s="93">
        <v>3</v>
      </c>
      <c r="I155" s="93">
        <f t="shared" si="270"/>
        <v>1</v>
      </c>
      <c r="J155" s="93">
        <f t="shared" si="270"/>
        <v>3</v>
      </c>
      <c r="K155" s="93">
        <v>0</v>
      </c>
      <c r="L155" s="93">
        <v>0</v>
      </c>
      <c r="M155" s="93">
        <v>2</v>
      </c>
      <c r="N155" s="93">
        <v>4</v>
      </c>
      <c r="O155" s="93">
        <f t="shared" si="271"/>
        <v>3</v>
      </c>
      <c r="P155" s="93">
        <f t="shared" si="272"/>
        <v>6</v>
      </c>
      <c r="Q155" s="93">
        <v>3</v>
      </c>
      <c r="R155" s="93">
        <v>0</v>
      </c>
      <c r="S155" s="93">
        <v>1</v>
      </c>
      <c r="T155" s="93">
        <v>0</v>
      </c>
      <c r="U155" s="93">
        <v>1</v>
      </c>
      <c r="V155" s="94">
        <f t="shared" si="273"/>
        <v>0.33333333333333331</v>
      </c>
      <c r="W155" s="94">
        <f t="shared" si="274"/>
        <v>0.5</v>
      </c>
      <c r="X155" s="94">
        <f t="shared" si="275"/>
        <v>0</v>
      </c>
      <c r="Y155" s="94">
        <f t="shared" si="276"/>
        <v>0</v>
      </c>
      <c r="Z155" s="94">
        <f t="shared" si="277"/>
        <v>0.33333333333333331</v>
      </c>
      <c r="AA155" s="95">
        <f t="shared" si="278"/>
        <v>6.6</v>
      </c>
      <c r="AB155" s="46" t="str">
        <f t="shared" ref="AB155:AB156" si="280">AB154</f>
        <v>REG</v>
      </c>
    </row>
    <row r="156" spans="1:28" ht="39.950000000000003" customHeight="1" x14ac:dyDescent="0.5">
      <c r="A156" s="44" t="str">
        <f t="shared" si="279"/>
        <v>Sister In-Laws</v>
      </c>
      <c r="B156" s="44">
        <f t="shared" si="279"/>
        <v>2</v>
      </c>
      <c r="C156" s="44">
        <f t="shared" si="279"/>
        <v>8</v>
      </c>
      <c r="D156" s="86" t="s">
        <v>45</v>
      </c>
      <c r="E156" s="99">
        <v>6</v>
      </c>
      <c r="F156" s="99">
        <v>9</v>
      </c>
      <c r="G156" s="99">
        <v>1</v>
      </c>
      <c r="H156" s="99">
        <v>6</v>
      </c>
      <c r="I156" s="99">
        <f t="shared" si="270"/>
        <v>7</v>
      </c>
      <c r="J156" s="99">
        <f t="shared" si="270"/>
        <v>15</v>
      </c>
      <c r="K156" s="99">
        <v>2</v>
      </c>
      <c r="L156" s="99">
        <v>3</v>
      </c>
      <c r="M156" s="99">
        <v>0</v>
      </c>
      <c r="N156" s="99">
        <v>2</v>
      </c>
      <c r="O156" s="99">
        <f t="shared" si="271"/>
        <v>17</v>
      </c>
      <c r="P156" s="99">
        <f t="shared" si="272"/>
        <v>2</v>
      </c>
      <c r="Q156" s="99">
        <v>4</v>
      </c>
      <c r="R156" s="99">
        <v>0</v>
      </c>
      <c r="S156" s="99">
        <v>1</v>
      </c>
      <c r="T156" s="99">
        <v>2</v>
      </c>
      <c r="U156" s="99">
        <v>1</v>
      </c>
      <c r="V156" s="100">
        <f t="shared" si="273"/>
        <v>0.46666666666666667</v>
      </c>
      <c r="W156" s="100">
        <f t="shared" si="274"/>
        <v>0.52083333333333337</v>
      </c>
      <c r="X156" s="100">
        <f t="shared" si="275"/>
        <v>0.66666666666666663</v>
      </c>
      <c r="Y156" s="100">
        <f t="shared" si="276"/>
        <v>0.66666666666666663</v>
      </c>
      <c r="Z156" s="100">
        <f t="shared" si="277"/>
        <v>0.16666666666666666</v>
      </c>
      <c r="AA156" s="101">
        <f t="shared" si="278"/>
        <v>10.9</v>
      </c>
      <c r="AB156" s="46" t="str">
        <f t="shared" si="280"/>
        <v>REG</v>
      </c>
    </row>
    <row r="157" spans="1:28" ht="39.950000000000003" customHeight="1" x14ac:dyDescent="0.5">
      <c r="A157" s="44" t="str">
        <f t="shared" ref="A157:C157" si="281">A155</f>
        <v>Sister In-Laws</v>
      </c>
      <c r="B157" s="44">
        <f t="shared" si="281"/>
        <v>2</v>
      </c>
      <c r="C157" s="44">
        <f t="shared" si="281"/>
        <v>8</v>
      </c>
      <c r="D157" s="86" t="s">
        <v>51</v>
      </c>
      <c r="E157" s="102">
        <v>2</v>
      </c>
      <c r="F157" s="102">
        <v>5</v>
      </c>
      <c r="G157" s="102">
        <v>0</v>
      </c>
      <c r="H157" s="102">
        <v>1</v>
      </c>
      <c r="I157" s="102">
        <f t="shared" si="270"/>
        <v>2</v>
      </c>
      <c r="J157" s="102">
        <f t="shared" si="270"/>
        <v>6</v>
      </c>
      <c r="K157" s="102">
        <v>1</v>
      </c>
      <c r="L157" s="102">
        <v>4</v>
      </c>
      <c r="M157" s="102">
        <v>3</v>
      </c>
      <c r="N157" s="102">
        <v>11</v>
      </c>
      <c r="O157" s="102">
        <f t="shared" si="271"/>
        <v>5</v>
      </c>
      <c r="P157" s="102">
        <f t="shared" si="272"/>
        <v>14</v>
      </c>
      <c r="Q157" s="102">
        <v>7</v>
      </c>
      <c r="R157" s="102">
        <v>0</v>
      </c>
      <c r="S157" s="102">
        <v>1</v>
      </c>
      <c r="T157" s="102">
        <v>3</v>
      </c>
      <c r="U157" s="102">
        <v>0</v>
      </c>
      <c r="V157" s="103">
        <f t="shared" si="273"/>
        <v>0.33333333333333331</v>
      </c>
      <c r="W157" s="103">
        <f t="shared" si="274"/>
        <v>0.32216494845360827</v>
      </c>
      <c r="X157" s="103">
        <f t="shared" si="275"/>
        <v>0.25</v>
      </c>
      <c r="Y157" s="103">
        <f t="shared" si="276"/>
        <v>0.4</v>
      </c>
      <c r="Z157" s="103">
        <f t="shared" si="277"/>
        <v>0</v>
      </c>
      <c r="AA157" s="104">
        <f t="shared" si="278"/>
        <v>8.6999999999999993</v>
      </c>
      <c r="AB157" s="46" t="str">
        <f>AB156</f>
        <v>REG</v>
      </c>
    </row>
    <row r="158" spans="1:28" ht="39.950000000000003" customHeight="1" x14ac:dyDescent="0.5">
      <c r="A158" s="44" t="str">
        <f>A157</f>
        <v>Sister In-Laws</v>
      </c>
      <c r="B158" s="44">
        <f t="shared" ref="B158:C158" si="282">B157</f>
        <v>2</v>
      </c>
      <c r="C158" s="44">
        <f t="shared" si="282"/>
        <v>8</v>
      </c>
      <c r="D158" s="86" t="s">
        <v>41</v>
      </c>
      <c r="E158" s="163">
        <v>0</v>
      </c>
      <c r="F158" s="163">
        <v>0</v>
      </c>
      <c r="G158" s="163">
        <v>1</v>
      </c>
      <c r="H158" s="163">
        <v>3</v>
      </c>
      <c r="I158" s="163">
        <f t="shared" si="270"/>
        <v>1</v>
      </c>
      <c r="J158" s="163">
        <f t="shared" si="270"/>
        <v>3</v>
      </c>
      <c r="K158" s="163">
        <v>0</v>
      </c>
      <c r="L158" s="163">
        <v>0</v>
      </c>
      <c r="M158" s="163">
        <v>0</v>
      </c>
      <c r="N158" s="163">
        <v>0</v>
      </c>
      <c r="O158" s="163">
        <f t="shared" si="271"/>
        <v>3</v>
      </c>
      <c r="P158" s="163">
        <f t="shared" si="272"/>
        <v>0</v>
      </c>
      <c r="Q158" s="163">
        <v>0</v>
      </c>
      <c r="R158" s="163">
        <v>0</v>
      </c>
      <c r="S158" s="163">
        <v>0</v>
      </c>
      <c r="T158" s="163">
        <v>1</v>
      </c>
      <c r="U158" s="163">
        <v>0</v>
      </c>
      <c r="V158" s="164">
        <f t="shared" si="273"/>
        <v>0.33333333333333331</v>
      </c>
      <c r="W158" s="164">
        <f t="shared" si="274"/>
        <v>0.5</v>
      </c>
      <c r="X158" s="164">
        <f t="shared" si="275"/>
        <v>0</v>
      </c>
      <c r="Y158" s="164">
        <f t="shared" si="276"/>
        <v>0</v>
      </c>
      <c r="Z158" s="164">
        <f t="shared" si="277"/>
        <v>0.33333333333333331</v>
      </c>
      <c r="AA158" s="165">
        <f t="shared" si="278"/>
        <v>0.30000000000000027</v>
      </c>
      <c r="AB158" s="46" t="str">
        <f>AB157</f>
        <v>REG</v>
      </c>
    </row>
    <row r="159" spans="1:28" ht="39.950000000000003" customHeight="1" x14ac:dyDescent="0.5">
      <c r="A159" s="44" t="str">
        <f>A156</f>
        <v>Sister In-Laws</v>
      </c>
      <c r="B159" s="44">
        <f>B156</f>
        <v>2</v>
      </c>
      <c r="C159" s="44">
        <f>C156</f>
        <v>8</v>
      </c>
      <c r="D159" s="86" t="s">
        <v>32</v>
      </c>
      <c r="E159" s="105">
        <f>SUM(E153:E158)</f>
        <v>21</v>
      </c>
      <c r="F159" s="105">
        <f t="shared" ref="F159:U159" si="283">SUM(F153:F158)</f>
        <v>34</v>
      </c>
      <c r="G159" s="105">
        <f t="shared" si="283"/>
        <v>6</v>
      </c>
      <c r="H159" s="105">
        <f t="shared" si="283"/>
        <v>26</v>
      </c>
      <c r="I159" s="105">
        <f t="shared" si="283"/>
        <v>27</v>
      </c>
      <c r="J159" s="105">
        <f t="shared" si="283"/>
        <v>60</v>
      </c>
      <c r="K159" s="105">
        <f t="shared" si="283"/>
        <v>5</v>
      </c>
      <c r="L159" s="105">
        <f t="shared" si="283"/>
        <v>10</v>
      </c>
      <c r="M159" s="105">
        <f t="shared" si="283"/>
        <v>7</v>
      </c>
      <c r="N159" s="105">
        <f t="shared" si="283"/>
        <v>22</v>
      </c>
      <c r="O159" s="105">
        <f t="shared" si="283"/>
        <v>65</v>
      </c>
      <c r="P159" s="105">
        <f t="shared" si="283"/>
        <v>29</v>
      </c>
      <c r="Q159" s="105">
        <f t="shared" si="283"/>
        <v>19</v>
      </c>
      <c r="R159" s="105">
        <f t="shared" si="283"/>
        <v>0</v>
      </c>
      <c r="S159" s="105">
        <f t="shared" si="283"/>
        <v>8</v>
      </c>
      <c r="T159" s="105">
        <f t="shared" si="283"/>
        <v>11</v>
      </c>
      <c r="U159" s="105">
        <f t="shared" si="283"/>
        <v>5</v>
      </c>
      <c r="V159" s="106">
        <f t="shared" si="273"/>
        <v>0.45</v>
      </c>
      <c r="W159" s="106">
        <f t="shared" si="274"/>
        <v>0.50465838509316763</v>
      </c>
      <c r="X159" s="106">
        <f t="shared" si="275"/>
        <v>0.5</v>
      </c>
      <c r="Y159" s="106">
        <f t="shared" si="276"/>
        <v>0.61764705882352944</v>
      </c>
      <c r="Z159" s="106">
        <f t="shared" si="277"/>
        <v>0.23076923076923078</v>
      </c>
      <c r="AA159" s="107">
        <f>AVERAGE(AA153:AA158)</f>
        <v>8.6</v>
      </c>
      <c r="AB159" s="46" t="str">
        <f>AB157</f>
        <v>REG</v>
      </c>
    </row>
    <row r="160" spans="1:28" ht="39.950000000000003" customHeight="1" x14ac:dyDescent="0.55000000000000004">
      <c r="A160" s="44" t="s">
        <v>33</v>
      </c>
      <c r="B160" s="44">
        <f t="shared" ref="B160:C160" si="284">B159</f>
        <v>2</v>
      </c>
      <c r="C160" s="44">
        <f t="shared" si="284"/>
        <v>8</v>
      </c>
      <c r="D160" s="82" t="s">
        <v>57</v>
      </c>
      <c r="E160" s="83"/>
      <c r="F160" s="83"/>
      <c r="G160" s="83"/>
      <c r="H160" s="83"/>
      <c r="I160" s="83"/>
      <c r="J160" s="83"/>
      <c r="K160" s="83"/>
      <c r="L160" s="83"/>
      <c r="M160" s="83"/>
      <c r="N160" s="83"/>
      <c r="O160" s="83">
        <v>59</v>
      </c>
      <c r="P160" s="83"/>
      <c r="Q160" s="83"/>
      <c r="R160" s="83"/>
      <c r="S160" s="83"/>
      <c r="T160" s="83"/>
      <c r="U160" s="83"/>
      <c r="V160" s="83"/>
      <c r="W160" s="83"/>
      <c r="X160" s="83"/>
      <c r="Y160" s="83"/>
      <c r="Z160" s="83"/>
      <c r="AA160" s="83"/>
      <c r="AB160" s="46" t="str">
        <f>AB159</f>
        <v>REG</v>
      </c>
    </row>
    <row r="161" spans="1:28" ht="39.950000000000003" customHeight="1" x14ac:dyDescent="0.5">
      <c r="A161" s="44" t="str">
        <f>D167</f>
        <v>PRIME TIME</v>
      </c>
      <c r="B161" s="44">
        <v>2</v>
      </c>
      <c r="C161" s="44">
        <v>9</v>
      </c>
      <c r="D161" s="86" t="s">
        <v>36</v>
      </c>
      <c r="E161" s="87">
        <v>2</v>
      </c>
      <c r="F161" s="87">
        <v>4</v>
      </c>
      <c r="G161" s="87">
        <v>1</v>
      </c>
      <c r="H161" s="87">
        <v>4</v>
      </c>
      <c r="I161" s="87">
        <f>E161+G161</f>
        <v>3</v>
      </c>
      <c r="J161" s="87">
        <f>F161+H161</f>
        <v>8</v>
      </c>
      <c r="K161" s="87">
        <v>0</v>
      </c>
      <c r="L161" s="87">
        <v>1</v>
      </c>
      <c r="M161" s="87">
        <v>0</v>
      </c>
      <c r="N161" s="87">
        <v>0</v>
      </c>
      <c r="O161" s="87">
        <f>E161*2+G161*3+K161</f>
        <v>7</v>
      </c>
      <c r="P161" s="87">
        <f>M161+N161</f>
        <v>0</v>
      </c>
      <c r="Q161" s="87">
        <v>3</v>
      </c>
      <c r="R161" s="87">
        <v>1</v>
      </c>
      <c r="S161" s="87">
        <v>5</v>
      </c>
      <c r="T161" s="87">
        <v>4</v>
      </c>
      <c r="U161" s="87">
        <v>1</v>
      </c>
      <c r="V161" s="88">
        <f>IFERROR(I161/J161,0)</f>
        <v>0.375</v>
      </c>
      <c r="W161" s="88">
        <f>IFERROR(O161/(2*(J161+0.44*L161)), 0)</f>
        <v>0.41469194312796209</v>
      </c>
      <c r="X161" s="88">
        <f>IFERROR(K161/L161,0)</f>
        <v>0</v>
      </c>
      <c r="Y161" s="88">
        <f>IFERROR(E161/F161,0)</f>
        <v>0.5</v>
      </c>
      <c r="Z161" s="88">
        <f>IFERROR(G161/H161,0)</f>
        <v>0.25</v>
      </c>
      <c r="AA161" s="89">
        <f>(O161)+(0.4*I161)-(0.7*J161)-(0.4*(L161-K161))+(0.7*M161)+(0.3*N161)+S161+(0.7*Q161)+(0.7*R161)-(0.4*U161)-T161</f>
        <v>5.5999999999999979</v>
      </c>
      <c r="AB161" s="167" t="s">
        <v>27</v>
      </c>
    </row>
    <row r="162" spans="1:28" ht="39.950000000000003" customHeight="1" x14ac:dyDescent="0.5">
      <c r="A162" s="44" t="str">
        <f>A161</f>
        <v>PRIME TIME</v>
      </c>
      <c r="B162" s="44">
        <f>B161</f>
        <v>2</v>
      </c>
      <c r="C162" s="44">
        <f>C161</f>
        <v>9</v>
      </c>
      <c r="D162" s="86" t="s">
        <v>28</v>
      </c>
      <c r="E162" s="90">
        <v>3</v>
      </c>
      <c r="F162" s="90">
        <v>6</v>
      </c>
      <c r="G162" s="90">
        <v>2</v>
      </c>
      <c r="H162" s="90">
        <v>3</v>
      </c>
      <c r="I162" s="90">
        <f t="shared" ref="I162:J165" si="285">E162+G162</f>
        <v>5</v>
      </c>
      <c r="J162" s="90">
        <f t="shared" si="285"/>
        <v>9</v>
      </c>
      <c r="K162" s="90">
        <v>2</v>
      </c>
      <c r="L162" s="90">
        <v>4</v>
      </c>
      <c r="M162" s="90">
        <v>0</v>
      </c>
      <c r="N162" s="90">
        <v>3</v>
      </c>
      <c r="O162" s="90">
        <f t="shared" ref="O162:O165" si="286">E162*2+G162*3+K162</f>
        <v>14</v>
      </c>
      <c r="P162" s="90">
        <f t="shared" ref="P162:P165" si="287">M162+N162</f>
        <v>3</v>
      </c>
      <c r="Q162" s="90">
        <v>1</v>
      </c>
      <c r="R162" s="90">
        <v>0</v>
      </c>
      <c r="S162" s="90">
        <v>0</v>
      </c>
      <c r="T162" s="90">
        <v>3</v>
      </c>
      <c r="U162" s="90">
        <v>2</v>
      </c>
      <c r="V162" s="91">
        <f t="shared" ref="V162:V166" si="288">IFERROR(I162/J162,0)</f>
        <v>0.55555555555555558</v>
      </c>
      <c r="W162" s="91">
        <f t="shared" ref="W162:W166" si="289">IFERROR(O162/(2*(J162+0.44*L162)), 0)</f>
        <v>0.65055762081784385</v>
      </c>
      <c r="X162" s="91">
        <f t="shared" ref="X162:X166" si="290">IFERROR(K162/L162,0)</f>
        <v>0.5</v>
      </c>
      <c r="Y162" s="91">
        <f t="shared" ref="Y162:Y166" si="291">IFERROR(E162/F162,0)</f>
        <v>0.5</v>
      </c>
      <c r="Z162" s="91">
        <f t="shared" ref="Z162:Z166" si="292">IFERROR(G162/H162,0)</f>
        <v>0.66666666666666663</v>
      </c>
      <c r="AA162" s="92">
        <f t="shared" ref="AA162:AA165" si="293">(O162)+(0.4*I162)-(0.7*J162)-(0.4*(L162-K162))+(0.7*M162)+(0.3*N162)+S162+(0.7*Q162)+(0.7*R162)-(0.4*U162)-T162</f>
        <v>6.6999999999999975</v>
      </c>
      <c r="AB162" s="46" t="str">
        <f>AB161</f>
        <v>REG</v>
      </c>
    </row>
    <row r="163" spans="1:28" ht="39.950000000000003" customHeight="1" x14ac:dyDescent="0.5">
      <c r="A163" s="44" t="str">
        <f t="shared" ref="A163:C164" si="294">A162</f>
        <v>PRIME TIME</v>
      </c>
      <c r="B163" s="44">
        <f t="shared" si="294"/>
        <v>2</v>
      </c>
      <c r="C163" s="44">
        <f t="shared" si="294"/>
        <v>9</v>
      </c>
      <c r="D163" s="86" t="s">
        <v>29</v>
      </c>
      <c r="E163" s="93">
        <v>0</v>
      </c>
      <c r="F163" s="93">
        <v>0</v>
      </c>
      <c r="G163" s="93">
        <v>1</v>
      </c>
      <c r="H163" s="93">
        <v>3</v>
      </c>
      <c r="I163" s="93">
        <f t="shared" si="285"/>
        <v>1</v>
      </c>
      <c r="J163" s="93">
        <f t="shared" si="285"/>
        <v>3</v>
      </c>
      <c r="K163" s="93">
        <v>0</v>
      </c>
      <c r="L163" s="93">
        <v>0</v>
      </c>
      <c r="M163" s="93">
        <v>0</v>
      </c>
      <c r="N163" s="93">
        <v>3</v>
      </c>
      <c r="O163" s="93">
        <f t="shared" si="286"/>
        <v>3</v>
      </c>
      <c r="P163" s="93">
        <f t="shared" si="287"/>
        <v>3</v>
      </c>
      <c r="Q163" s="93">
        <v>2</v>
      </c>
      <c r="R163" s="93">
        <v>0</v>
      </c>
      <c r="S163" s="93">
        <v>0</v>
      </c>
      <c r="T163" s="93">
        <v>1</v>
      </c>
      <c r="U163" s="93">
        <v>0</v>
      </c>
      <c r="V163" s="94">
        <f t="shared" si="288"/>
        <v>0.33333333333333331</v>
      </c>
      <c r="W163" s="94">
        <f t="shared" si="289"/>
        <v>0.5</v>
      </c>
      <c r="X163" s="94">
        <f t="shared" si="290"/>
        <v>0</v>
      </c>
      <c r="Y163" s="94">
        <f t="shared" si="291"/>
        <v>0</v>
      </c>
      <c r="Z163" s="94">
        <f t="shared" si="292"/>
        <v>0.33333333333333331</v>
      </c>
      <c r="AA163" s="95">
        <f t="shared" si="293"/>
        <v>2.6</v>
      </c>
      <c r="AB163" s="46" t="str">
        <f t="shared" ref="AB163:AB164" si="295">AB162</f>
        <v>REG</v>
      </c>
    </row>
    <row r="164" spans="1:28" ht="39.950000000000003" customHeight="1" x14ac:dyDescent="0.5">
      <c r="A164" s="44" t="str">
        <f t="shared" si="294"/>
        <v>PRIME TIME</v>
      </c>
      <c r="B164" s="44">
        <f t="shared" si="294"/>
        <v>2</v>
      </c>
      <c r="C164" s="44">
        <f t="shared" si="294"/>
        <v>9</v>
      </c>
      <c r="D164" s="86" t="s">
        <v>45</v>
      </c>
      <c r="E164" s="99">
        <v>3</v>
      </c>
      <c r="F164" s="99">
        <v>5</v>
      </c>
      <c r="G164" s="99">
        <v>0</v>
      </c>
      <c r="H164" s="99">
        <v>2</v>
      </c>
      <c r="I164" s="99">
        <f t="shared" si="285"/>
        <v>3</v>
      </c>
      <c r="J164" s="99">
        <f t="shared" si="285"/>
        <v>7</v>
      </c>
      <c r="K164" s="99">
        <v>5</v>
      </c>
      <c r="L164" s="99">
        <v>9</v>
      </c>
      <c r="M164" s="99">
        <v>2</v>
      </c>
      <c r="N164" s="99">
        <v>7</v>
      </c>
      <c r="O164" s="99">
        <f t="shared" si="286"/>
        <v>11</v>
      </c>
      <c r="P164" s="99">
        <f t="shared" si="287"/>
        <v>9</v>
      </c>
      <c r="Q164" s="99">
        <v>3</v>
      </c>
      <c r="R164" s="99">
        <v>0</v>
      </c>
      <c r="S164" s="99">
        <v>2</v>
      </c>
      <c r="T164" s="99">
        <v>2</v>
      </c>
      <c r="U164" s="99">
        <v>1</v>
      </c>
      <c r="V164" s="100">
        <f t="shared" si="288"/>
        <v>0.42857142857142855</v>
      </c>
      <c r="W164" s="100">
        <f t="shared" si="289"/>
        <v>0.50182481751824815</v>
      </c>
      <c r="X164" s="100">
        <f t="shared" si="290"/>
        <v>0.55555555555555558</v>
      </c>
      <c r="Y164" s="100">
        <f t="shared" si="291"/>
        <v>0.6</v>
      </c>
      <c r="Z164" s="100">
        <f t="shared" si="292"/>
        <v>0</v>
      </c>
      <c r="AA164" s="101">
        <f t="shared" si="293"/>
        <v>10.899999999999999</v>
      </c>
      <c r="AB164" s="46" t="str">
        <f t="shared" si="295"/>
        <v>REG</v>
      </c>
    </row>
    <row r="165" spans="1:28" ht="39.950000000000003" customHeight="1" x14ac:dyDescent="0.5">
      <c r="A165" s="44" t="str">
        <f t="shared" ref="A165:C165" si="296">A163</f>
        <v>PRIME TIME</v>
      </c>
      <c r="B165" s="44">
        <f t="shared" si="296"/>
        <v>2</v>
      </c>
      <c r="C165" s="44">
        <f t="shared" si="296"/>
        <v>9</v>
      </c>
      <c r="D165" s="86" t="s">
        <v>51</v>
      </c>
      <c r="E165" s="102">
        <v>2</v>
      </c>
      <c r="F165" s="102">
        <v>2</v>
      </c>
      <c r="G165" s="102">
        <v>0</v>
      </c>
      <c r="H165" s="102">
        <v>2</v>
      </c>
      <c r="I165" s="102">
        <f t="shared" si="285"/>
        <v>2</v>
      </c>
      <c r="J165" s="102">
        <f t="shared" si="285"/>
        <v>4</v>
      </c>
      <c r="K165" s="102">
        <v>0</v>
      </c>
      <c r="L165" s="102">
        <v>4</v>
      </c>
      <c r="M165" s="102">
        <v>0</v>
      </c>
      <c r="N165" s="102">
        <v>3</v>
      </c>
      <c r="O165" s="102">
        <f t="shared" si="286"/>
        <v>4</v>
      </c>
      <c r="P165" s="102">
        <f t="shared" si="287"/>
        <v>3</v>
      </c>
      <c r="Q165" s="102">
        <v>2</v>
      </c>
      <c r="R165" s="102">
        <v>0</v>
      </c>
      <c r="S165" s="102">
        <v>0</v>
      </c>
      <c r="T165" s="102">
        <v>4</v>
      </c>
      <c r="U165" s="102">
        <v>1</v>
      </c>
      <c r="V165" s="103">
        <f t="shared" si="288"/>
        <v>0.5</v>
      </c>
      <c r="W165" s="103">
        <f t="shared" si="289"/>
        <v>0.34722222222222221</v>
      </c>
      <c r="X165" s="103">
        <f t="shared" si="290"/>
        <v>0</v>
      </c>
      <c r="Y165" s="103">
        <f t="shared" si="291"/>
        <v>1</v>
      </c>
      <c r="Z165" s="103">
        <f t="shared" si="292"/>
        <v>0</v>
      </c>
      <c r="AA165" s="104">
        <f t="shared" si="293"/>
        <v>-1.7000000000000002</v>
      </c>
      <c r="AB165" s="46" t="str">
        <f>AB164</f>
        <v>REG</v>
      </c>
    </row>
    <row r="166" spans="1:28" ht="39.950000000000003" customHeight="1" x14ac:dyDescent="0.5">
      <c r="A166" s="44" t="str">
        <f>A164</f>
        <v>PRIME TIME</v>
      </c>
      <c r="B166" s="44">
        <f>B164</f>
        <v>2</v>
      </c>
      <c r="C166" s="44">
        <f>C164</f>
        <v>9</v>
      </c>
      <c r="D166" s="86" t="s">
        <v>32</v>
      </c>
      <c r="E166" s="105">
        <f t="shared" ref="E166:U166" si="297">SUM(E161:E165)</f>
        <v>10</v>
      </c>
      <c r="F166" s="105">
        <f t="shared" si="297"/>
        <v>17</v>
      </c>
      <c r="G166" s="105">
        <f t="shared" si="297"/>
        <v>4</v>
      </c>
      <c r="H166" s="105">
        <f t="shared" si="297"/>
        <v>14</v>
      </c>
      <c r="I166" s="105">
        <f t="shared" si="297"/>
        <v>14</v>
      </c>
      <c r="J166" s="105">
        <f t="shared" si="297"/>
        <v>31</v>
      </c>
      <c r="K166" s="105">
        <f t="shared" si="297"/>
        <v>7</v>
      </c>
      <c r="L166" s="105">
        <f t="shared" si="297"/>
        <v>18</v>
      </c>
      <c r="M166" s="105">
        <f t="shared" si="297"/>
        <v>2</v>
      </c>
      <c r="N166" s="105">
        <f t="shared" si="297"/>
        <v>16</v>
      </c>
      <c r="O166" s="105">
        <f t="shared" si="297"/>
        <v>39</v>
      </c>
      <c r="P166" s="105">
        <f t="shared" si="297"/>
        <v>18</v>
      </c>
      <c r="Q166" s="105">
        <f t="shared" si="297"/>
        <v>11</v>
      </c>
      <c r="R166" s="105">
        <f t="shared" si="297"/>
        <v>1</v>
      </c>
      <c r="S166" s="105">
        <f t="shared" si="297"/>
        <v>7</v>
      </c>
      <c r="T166" s="105">
        <f t="shared" si="297"/>
        <v>14</v>
      </c>
      <c r="U166" s="105">
        <f t="shared" si="297"/>
        <v>5</v>
      </c>
      <c r="V166" s="106">
        <f t="shared" si="288"/>
        <v>0.45161290322580644</v>
      </c>
      <c r="W166" s="106">
        <f t="shared" si="289"/>
        <v>0.50102774922918802</v>
      </c>
      <c r="X166" s="106">
        <f t="shared" si="290"/>
        <v>0.3888888888888889</v>
      </c>
      <c r="Y166" s="106">
        <f t="shared" si="291"/>
        <v>0.58823529411764708</v>
      </c>
      <c r="Z166" s="106">
        <f t="shared" si="292"/>
        <v>0.2857142857142857</v>
      </c>
      <c r="AA166" s="107">
        <f>AVERAGE(AA161:AA165)</f>
        <v>4.8199999999999985</v>
      </c>
      <c r="AB166" s="46" t="str">
        <f>AB165</f>
        <v>REG</v>
      </c>
    </row>
    <row r="167" spans="1:28" ht="39.950000000000003" customHeight="1" x14ac:dyDescent="0.55000000000000004">
      <c r="A167" s="44" t="s">
        <v>33</v>
      </c>
      <c r="B167" s="44">
        <f t="shared" ref="B167:C167" si="298">B166</f>
        <v>2</v>
      </c>
      <c r="C167" s="44">
        <f t="shared" si="298"/>
        <v>9</v>
      </c>
      <c r="D167" s="158" t="s">
        <v>37</v>
      </c>
      <c r="E167" s="83"/>
      <c r="F167" s="83"/>
      <c r="G167" s="83"/>
      <c r="H167" s="83"/>
      <c r="I167" s="83"/>
      <c r="J167" s="83"/>
      <c r="K167" s="83"/>
      <c r="L167" s="83"/>
      <c r="M167" s="83"/>
      <c r="N167" s="83"/>
      <c r="O167" s="83">
        <v>48</v>
      </c>
      <c r="P167" s="83"/>
      <c r="Q167" s="83"/>
      <c r="R167" s="83"/>
      <c r="S167" s="83"/>
      <c r="T167" s="83"/>
      <c r="U167" s="83"/>
      <c r="V167" s="83"/>
      <c r="W167" s="83"/>
      <c r="X167" s="83"/>
      <c r="Y167" s="83"/>
      <c r="Z167" s="83"/>
      <c r="AA167" s="83"/>
      <c r="AB167" s="46" t="str">
        <f>AB166</f>
        <v>REG</v>
      </c>
    </row>
    <row r="168" spans="1:28" ht="39.950000000000003" customHeight="1" x14ac:dyDescent="0.5">
      <c r="A168" s="44" t="str">
        <f>D175</f>
        <v>slow motion</v>
      </c>
      <c r="B168" s="44">
        <v>2</v>
      </c>
      <c r="C168" s="44">
        <v>10</v>
      </c>
      <c r="D168" s="86" t="s">
        <v>36</v>
      </c>
      <c r="E168" s="87">
        <v>8</v>
      </c>
      <c r="F168" s="87">
        <v>13</v>
      </c>
      <c r="G168" s="87">
        <v>0</v>
      </c>
      <c r="H168" s="87">
        <v>0</v>
      </c>
      <c r="I168" s="87">
        <f>E168+G168</f>
        <v>8</v>
      </c>
      <c r="J168" s="87">
        <f>F168+H168</f>
        <v>13</v>
      </c>
      <c r="K168" s="87">
        <v>1</v>
      </c>
      <c r="L168" s="87">
        <v>6</v>
      </c>
      <c r="M168" s="87">
        <v>0</v>
      </c>
      <c r="N168" s="87">
        <v>2</v>
      </c>
      <c r="O168" s="87">
        <f>E168*2+G168*3+K168</f>
        <v>17</v>
      </c>
      <c r="P168" s="87">
        <f>M168+N168</f>
        <v>2</v>
      </c>
      <c r="Q168" s="87">
        <v>3</v>
      </c>
      <c r="R168" s="87">
        <v>0</v>
      </c>
      <c r="S168" s="87">
        <v>2</v>
      </c>
      <c r="T168" s="87">
        <v>1</v>
      </c>
      <c r="U168" s="87">
        <v>1</v>
      </c>
      <c r="V168" s="88">
        <f>IFERROR(I168/J168,0)</f>
        <v>0.61538461538461542</v>
      </c>
      <c r="W168" s="88">
        <f>IFERROR(O168/(2*(J168+0.44*L168)), 0)</f>
        <v>0.54347826086956519</v>
      </c>
      <c r="X168" s="88">
        <f>IFERROR(K168/L168,0)</f>
        <v>0.16666666666666666</v>
      </c>
      <c r="Y168" s="88">
        <f>IFERROR(E168/F168,0)</f>
        <v>0.61538461538461542</v>
      </c>
      <c r="Z168" s="88">
        <f>IFERROR(G168/H168,0)</f>
        <v>0</v>
      </c>
      <c r="AA168" s="89">
        <f>(O168)+(0.4*I168)-(0.7*J168)-(0.4*(L168-K168))+(0.7*M168)+(0.3*N168)+S168+(0.7*Q168)+(0.7*R168)-(0.4*U168)-T168</f>
        <v>12.399999999999999</v>
      </c>
      <c r="AB168" s="167" t="s">
        <v>27</v>
      </c>
    </row>
    <row r="169" spans="1:28" ht="39.950000000000003" customHeight="1" x14ac:dyDescent="0.5">
      <c r="A169" s="44" t="str">
        <f>A168</f>
        <v>slow motion</v>
      </c>
      <c r="B169" s="44">
        <f>B168</f>
        <v>2</v>
      </c>
      <c r="C169" s="44">
        <f>C168</f>
        <v>10</v>
      </c>
      <c r="D169" s="86" t="s">
        <v>28</v>
      </c>
      <c r="E169" s="90">
        <v>1</v>
      </c>
      <c r="F169" s="90">
        <v>5</v>
      </c>
      <c r="G169" s="90">
        <v>2</v>
      </c>
      <c r="H169" s="90">
        <v>5</v>
      </c>
      <c r="I169" s="90">
        <f t="shared" ref="I169:J173" si="299">E169+G169</f>
        <v>3</v>
      </c>
      <c r="J169" s="90">
        <f t="shared" si="299"/>
        <v>10</v>
      </c>
      <c r="K169" s="90">
        <v>2</v>
      </c>
      <c r="L169" s="90">
        <v>2</v>
      </c>
      <c r="M169" s="90">
        <v>2</v>
      </c>
      <c r="N169" s="90">
        <v>5</v>
      </c>
      <c r="O169" s="90">
        <f t="shared" ref="O169:O173" si="300">E169*2+G169*3+K169</f>
        <v>10</v>
      </c>
      <c r="P169" s="90">
        <f t="shared" ref="P169:P173" si="301">M169+N169</f>
        <v>7</v>
      </c>
      <c r="Q169" s="90">
        <v>4</v>
      </c>
      <c r="R169" s="90">
        <v>3</v>
      </c>
      <c r="S169" s="90">
        <v>1</v>
      </c>
      <c r="T169" s="90">
        <v>3</v>
      </c>
      <c r="U169" s="90">
        <v>1</v>
      </c>
      <c r="V169" s="91">
        <f t="shared" ref="V169:V174" si="302">IFERROR(I169/J169,0)</f>
        <v>0.3</v>
      </c>
      <c r="W169" s="91">
        <f t="shared" ref="W169:W174" si="303">IFERROR(O169/(2*(J169+0.44*L169)), 0)</f>
        <v>0.45955882352941174</v>
      </c>
      <c r="X169" s="91">
        <f t="shared" ref="X169:X174" si="304">IFERROR(K169/L169,0)</f>
        <v>1</v>
      </c>
      <c r="Y169" s="91">
        <f t="shared" ref="Y169:Y174" si="305">IFERROR(E169/F169,0)</f>
        <v>0.2</v>
      </c>
      <c r="Z169" s="91">
        <f t="shared" ref="Z169:Z174" si="306">IFERROR(G169/H169,0)</f>
        <v>0.4</v>
      </c>
      <c r="AA169" s="92">
        <f t="shared" ref="AA169:AA173" si="307">(O169)+(0.4*I169)-(0.7*J169)-(0.4*(L169-K169))+(0.7*M169)+(0.3*N169)+S169+(0.7*Q169)+(0.7*R169)-(0.4*U169)-T169</f>
        <v>9.5999999999999979</v>
      </c>
      <c r="AB169" s="46" t="str">
        <f>AB168</f>
        <v>REG</v>
      </c>
    </row>
    <row r="170" spans="1:28" ht="39.950000000000003" customHeight="1" x14ac:dyDescent="0.5">
      <c r="A170" s="44" t="str">
        <f t="shared" ref="A170:C171" si="308">A169</f>
        <v>slow motion</v>
      </c>
      <c r="B170" s="44">
        <f t="shared" si="308"/>
        <v>2</v>
      </c>
      <c r="C170" s="44">
        <f t="shared" si="308"/>
        <v>10</v>
      </c>
      <c r="D170" s="86" t="s">
        <v>29</v>
      </c>
      <c r="E170" s="93">
        <v>0</v>
      </c>
      <c r="F170" s="93">
        <v>0</v>
      </c>
      <c r="G170" s="93">
        <v>1</v>
      </c>
      <c r="H170" s="93">
        <v>2</v>
      </c>
      <c r="I170" s="93">
        <f t="shared" si="299"/>
        <v>1</v>
      </c>
      <c r="J170" s="93">
        <f t="shared" si="299"/>
        <v>2</v>
      </c>
      <c r="K170" s="93">
        <v>0</v>
      </c>
      <c r="L170" s="93">
        <v>0</v>
      </c>
      <c r="M170" s="93">
        <v>1</v>
      </c>
      <c r="N170" s="93">
        <v>3</v>
      </c>
      <c r="O170" s="93">
        <f t="shared" si="300"/>
        <v>3</v>
      </c>
      <c r="P170" s="93">
        <f t="shared" si="301"/>
        <v>4</v>
      </c>
      <c r="Q170" s="93">
        <v>3</v>
      </c>
      <c r="R170" s="93">
        <v>0</v>
      </c>
      <c r="S170" s="93">
        <v>2</v>
      </c>
      <c r="T170" s="93">
        <v>1</v>
      </c>
      <c r="U170" s="93">
        <v>2</v>
      </c>
      <c r="V170" s="94">
        <f t="shared" si="302"/>
        <v>0.5</v>
      </c>
      <c r="W170" s="94">
        <f t="shared" si="303"/>
        <v>0.75</v>
      </c>
      <c r="X170" s="94">
        <f t="shared" si="304"/>
        <v>0</v>
      </c>
      <c r="Y170" s="94">
        <f t="shared" si="305"/>
        <v>0</v>
      </c>
      <c r="Z170" s="94">
        <f t="shared" si="306"/>
        <v>0.5</v>
      </c>
      <c r="AA170" s="95">
        <f t="shared" si="307"/>
        <v>5.8999999999999995</v>
      </c>
      <c r="AB170" s="46" t="str">
        <f t="shared" ref="AB170:AB171" si="309">AB169</f>
        <v>REG</v>
      </c>
    </row>
    <row r="171" spans="1:28" ht="39.950000000000003" customHeight="1" x14ac:dyDescent="0.5">
      <c r="A171" s="44" t="str">
        <f t="shared" si="308"/>
        <v>slow motion</v>
      </c>
      <c r="B171" s="44">
        <f t="shared" si="308"/>
        <v>2</v>
      </c>
      <c r="C171" s="44">
        <f t="shared" si="308"/>
        <v>10</v>
      </c>
      <c r="D171" s="86" t="s">
        <v>45</v>
      </c>
      <c r="E171" s="99">
        <v>7</v>
      </c>
      <c r="F171" s="99">
        <v>12</v>
      </c>
      <c r="G171" s="99">
        <v>1</v>
      </c>
      <c r="H171" s="99">
        <v>4</v>
      </c>
      <c r="I171" s="99">
        <f t="shared" si="299"/>
        <v>8</v>
      </c>
      <c r="J171" s="99">
        <f t="shared" si="299"/>
        <v>16</v>
      </c>
      <c r="K171" s="99">
        <v>0</v>
      </c>
      <c r="L171" s="99">
        <v>0</v>
      </c>
      <c r="M171" s="99">
        <v>0</v>
      </c>
      <c r="N171" s="99">
        <v>12</v>
      </c>
      <c r="O171" s="99">
        <f t="shared" si="300"/>
        <v>17</v>
      </c>
      <c r="P171" s="99">
        <f t="shared" si="301"/>
        <v>12</v>
      </c>
      <c r="Q171" s="99">
        <v>7</v>
      </c>
      <c r="R171" s="99">
        <v>0</v>
      </c>
      <c r="S171" s="99">
        <v>0</v>
      </c>
      <c r="T171" s="99">
        <v>1</v>
      </c>
      <c r="U171" s="99">
        <v>4</v>
      </c>
      <c r="V171" s="100">
        <f t="shared" si="302"/>
        <v>0.5</v>
      </c>
      <c r="W171" s="100">
        <f t="shared" si="303"/>
        <v>0.53125</v>
      </c>
      <c r="X171" s="100">
        <f t="shared" si="304"/>
        <v>0</v>
      </c>
      <c r="Y171" s="100">
        <f t="shared" si="305"/>
        <v>0.58333333333333337</v>
      </c>
      <c r="Z171" s="100">
        <f t="shared" si="306"/>
        <v>0.25</v>
      </c>
      <c r="AA171" s="101">
        <f t="shared" si="307"/>
        <v>14.9</v>
      </c>
      <c r="AB171" s="46" t="str">
        <f t="shared" si="309"/>
        <v>REG</v>
      </c>
    </row>
    <row r="172" spans="1:28" ht="39.950000000000003" customHeight="1" x14ac:dyDescent="0.5">
      <c r="A172" s="44" t="str">
        <f t="shared" ref="A172:C172" si="310">A170</f>
        <v>slow motion</v>
      </c>
      <c r="B172" s="44">
        <f t="shared" si="310"/>
        <v>2</v>
      </c>
      <c r="C172" s="44">
        <f t="shared" si="310"/>
        <v>10</v>
      </c>
      <c r="D172" s="86" t="s">
        <v>51</v>
      </c>
      <c r="E172" s="102">
        <v>1</v>
      </c>
      <c r="F172" s="102">
        <v>3</v>
      </c>
      <c r="G172" s="102">
        <v>0</v>
      </c>
      <c r="H172" s="102">
        <v>0</v>
      </c>
      <c r="I172" s="102">
        <f t="shared" si="299"/>
        <v>1</v>
      </c>
      <c r="J172" s="102">
        <f t="shared" si="299"/>
        <v>3</v>
      </c>
      <c r="K172" s="102">
        <v>0</v>
      </c>
      <c r="L172" s="102">
        <v>3</v>
      </c>
      <c r="M172" s="102">
        <v>0</v>
      </c>
      <c r="N172" s="102">
        <v>2</v>
      </c>
      <c r="O172" s="102">
        <f t="shared" si="300"/>
        <v>2</v>
      </c>
      <c r="P172" s="102">
        <f t="shared" si="301"/>
        <v>2</v>
      </c>
      <c r="Q172" s="102">
        <v>0</v>
      </c>
      <c r="R172" s="102">
        <v>0</v>
      </c>
      <c r="S172" s="102">
        <v>0</v>
      </c>
      <c r="T172" s="102">
        <v>2</v>
      </c>
      <c r="U172" s="102">
        <v>2</v>
      </c>
      <c r="V172" s="103">
        <f t="shared" si="302"/>
        <v>0.33333333333333331</v>
      </c>
      <c r="W172" s="103">
        <f t="shared" si="303"/>
        <v>0.23148148148148145</v>
      </c>
      <c r="X172" s="103">
        <f t="shared" si="304"/>
        <v>0</v>
      </c>
      <c r="Y172" s="103">
        <f t="shared" si="305"/>
        <v>0.33333333333333331</v>
      </c>
      <c r="Z172" s="103">
        <f t="shared" si="306"/>
        <v>0</v>
      </c>
      <c r="AA172" s="104">
        <f t="shared" si="307"/>
        <v>-3.1</v>
      </c>
      <c r="AB172" s="46" t="str">
        <f>AB171</f>
        <v>REG</v>
      </c>
    </row>
    <row r="173" spans="1:28" ht="39.950000000000003" customHeight="1" x14ac:dyDescent="0.5">
      <c r="A173" s="44" t="str">
        <f>A172</f>
        <v>slow motion</v>
      </c>
      <c r="B173" s="44">
        <f t="shared" ref="B173:C173" si="311">B172</f>
        <v>2</v>
      </c>
      <c r="C173" s="44">
        <f t="shared" si="311"/>
        <v>10</v>
      </c>
      <c r="D173" s="86" t="s">
        <v>41</v>
      </c>
      <c r="E173" s="163">
        <v>0</v>
      </c>
      <c r="F173" s="163">
        <v>0</v>
      </c>
      <c r="G173" s="163">
        <v>3</v>
      </c>
      <c r="H173" s="163">
        <v>6</v>
      </c>
      <c r="I173" s="163">
        <f t="shared" si="299"/>
        <v>3</v>
      </c>
      <c r="J173" s="163">
        <f t="shared" si="299"/>
        <v>6</v>
      </c>
      <c r="K173" s="163">
        <v>0</v>
      </c>
      <c r="L173" s="163">
        <v>0</v>
      </c>
      <c r="M173" s="163">
        <v>1</v>
      </c>
      <c r="N173" s="163">
        <v>0</v>
      </c>
      <c r="O173" s="163">
        <f t="shared" si="300"/>
        <v>9</v>
      </c>
      <c r="P173" s="163">
        <f t="shared" si="301"/>
        <v>1</v>
      </c>
      <c r="Q173" s="163">
        <v>0</v>
      </c>
      <c r="R173" s="163">
        <v>0</v>
      </c>
      <c r="S173" s="163">
        <v>0</v>
      </c>
      <c r="T173" s="163">
        <v>0</v>
      </c>
      <c r="U173" s="163">
        <v>1</v>
      </c>
      <c r="V173" s="164">
        <f t="shared" si="302"/>
        <v>0.5</v>
      </c>
      <c r="W173" s="164">
        <f t="shared" si="303"/>
        <v>0.75</v>
      </c>
      <c r="X173" s="164">
        <f t="shared" si="304"/>
        <v>0</v>
      </c>
      <c r="Y173" s="164">
        <f t="shared" si="305"/>
        <v>0</v>
      </c>
      <c r="Z173" s="164">
        <f t="shared" si="306"/>
        <v>0.5</v>
      </c>
      <c r="AA173" s="165">
        <f t="shared" si="307"/>
        <v>6.3</v>
      </c>
      <c r="AB173" s="46" t="str">
        <f>AB172</f>
        <v>REG</v>
      </c>
    </row>
    <row r="174" spans="1:28" ht="39.950000000000003" customHeight="1" x14ac:dyDescent="0.5">
      <c r="A174" s="44" t="str">
        <f>A171</f>
        <v>slow motion</v>
      </c>
      <c r="B174" s="44">
        <f>B171</f>
        <v>2</v>
      </c>
      <c r="C174" s="44">
        <f>C171</f>
        <v>10</v>
      </c>
      <c r="D174" s="86" t="s">
        <v>32</v>
      </c>
      <c r="E174" s="105">
        <f>SUM(E168:E173)</f>
        <v>17</v>
      </c>
      <c r="F174" s="105">
        <f t="shared" ref="F174:U174" si="312">SUM(F168:F173)</f>
        <v>33</v>
      </c>
      <c r="G174" s="105">
        <f t="shared" si="312"/>
        <v>7</v>
      </c>
      <c r="H174" s="105">
        <f t="shared" si="312"/>
        <v>17</v>
      </c>
      <c r="I174" s="105">
        <f t="shared" si="312"/>
        <v>24</v>
      </c>
      <c r="J174" s="105">
        <f t="shared" si="312"/>
        <v>50</v>
      </c>
      <c r="K174" s="105">
        <f t="shared" si="312"/>
        <v>3</v>
      </c>
      <c r="L174" s="105">
        <f t="shared" si="312"/>
        <v>11</v>
      </c>
      <c r="M174" s="105">
        <f t="shared" si="312"/>
        <v>4</v>
      </c>
      <c r="N174" s="105">
        <f t="shared" si="312"/>
        <v>24</v>
      </c>
      <c r="O174" s="105">
        <f t="shared" si="312"/>
        <v>58</v>
      </c>
      <c r="P174" s="105">
        <f t="shared" si="312"/>
        <v>28</v>
      </c>
      <c r="Q174" s="105">
        <f t="shared" si="312"/>
        <v>17</v>
      </c>
      <c r="R174" s="105">
        <f t="shared" si="312"/>
        <v>3</v>
      </c>
      <c r="S174" s="105">
        <f t="shared" si="312"/>
        <v>5</v>
      </c>
      <c r="T174" s="105">
        <f t="shared" si="312"/>
        <v>8</v>
      </c>
      <c r="U174" s="105">
        <f t="shared" si="312"/>
        <v>11</v>
      </c>
      <c r="V174" s="106">
        <f t="shared" si="302"/>
        <v>0.48</v>
      </c>
      <c r="W174" s="106">
        <f t="shared" si="303"/>
        <v>0.52881108679795763</v>
      </c>
      <c r="X174" s="106">
        <f t="shared" si="304"/>
        <v>0.27272727272727271</v>
      </c>
      <c r="Y174" s="106">
        <f t="shared" si="305"/>
        <v>0.51515151515151514</v>
      </c>
      <c r="Z174" s="106">
        <f t="shared" si="306"/>
        <v>0.41176470588235292</v>
      </c>
      <c r="AA174" s="107">
        <f>AVERAGE(AA168:AA173)</f>
        <v>7.6666666666666652</v>
      </c>
      <c r="AB174" s="46" t="str">
        <f>AB172</f>
        <v>REG</v>
      </c>
    </row>
    <row r="175" spans="1:28" ht="39.950000000000003" customHeight="1" x14ac:dyDescent="0.55000000000000004">
      <c r="A175" s="44" t="s">
        <v>33</v>
      </c>
      <c r="B175" s="44">
        <f t="shared" ref="B175:C175" si="313">B174</f>
        <v>2</v>
      </c>
      <c r="C175" s="44">
        <f t="shared" si="313"/>
        <v>10</v>
      </c>
      <c r="D175" s="82" t="s">
        <v>49</v>
      </c>
      <c r="E175" s="83"/>
      <c r="F175" s="83"/>
      <c r="G175" s="83"/>
      <c r="H175" s="83"/>
      <c r="I175" s="83"/>
      <c r="J175" s="83"/>
      <c r="K175" s="83"/>
      <c r="L175" s="83"/>
      <c r="M175" s="83"/>
      <c r="N175" s="83"/>
      <c r="O175" s="83">
        <v>55</v>
      </c>
      <c r="P175" s="83"/>
      <c r="Q175" s="83"/>
      <c r="R175" s="83"/>
      <c r="S175" s="83"/>
      <c r="T175" s="83"/>
      <c r="U175" s="83"/>
      <c r="V175" s="83"/>
      <c r="W175" s="83"/>
      <c r="X175" s="83"/>
      <c r="Y175" s="83"/>
      <c r="Z175" s="83"/>
      <c r="AA175" s="83"/>
      <c r="AB175" s="46" t="str">
        <f>AB174</f>
        <v>REG</v>
      </c>
    </row>
    <row r="176" spans="1:28" ht="39.950000000000003" customHeight="1" x14ac:dyDescent="0.5">
      <c r="A176" s="44" t="str">
        <f>D182</f>
        <v>Ripperz</v>
      </c>
      <c r="B176" s="44">
        <v>2</v>
      </c>
      <c r="C176" s="44">
        <v>11</v>
      </c>
      <c r="D176" s="86" t="s">
        <v>36</v>
      </c>
      <c r="E176" s="87">
        <v>8</v>
      </c>
      <c r="F176" s="87">
        <v>16</v>
      </c>
      <c r="G176" s="87">
        <v>2</v>
      </c>
      <c r="H176" s="87">
        <v>4</v>
      </c>
      <c r="I176" s="87">
        <f>E176+G176</f>
        <v>10</v>
      </c>
      <c r="J176" s="87">
        <f>F176+H176</f>
        <v>20</v>
      </c>
      <c r="K176" s="87">
        <v>0</v>
      </c>
      <c r="L176" s="87">
        <v>2</v>
      </c>
      <c r="M176" s="87">
        <v>1</v>
      </c>
      <c r="N176" s="87">
        <v>11</v>
      </c>
      <c r="O176" s="87">
        <f>E176*2+G176*3+K176</f>
        <v>22</v>
      </c>
      <c r="P176" s="87">
        <f>M176+N176</f>
        <v>12</v>
      </c>
      <c r="Q176" s="87">
        <v>3</v>
      </c>
      <c r="R176" s="87">
        <v>1</v>
      </c>
      <c r="S176" s="87">
        <v>1</v>
      </c>
      <c r="T176" s="87">
        <v>3</v>
      </c>
      <c r="U176" s="87">
        <v>1</v>
      </c>
      <c r="V176" s="88">
        <f>IFERROR(I176/J176,0)</f>
        <v>0.5</v>
      </c>
      <c r="W176" s="88">
        <f>IFERROR(O176/(2*(J176+0.44*L176)), 0)</f>
        <v>0.52681992337164751</v>
      </c>
      <c r="X176" s="88">
        <f>IFERROR(K176/L176,0)</f>
        <v>0</v>
      </c>
      <c r="Y176" s="88">
        <f>IFERROR(E176/F176,0)</f>
        <v>0.5</v>
      </c>
      <c r="Z176" s="88">
        <f>IFERROR(G176/H176,0)</f>
        <v>0.5</v>
      </c>
      <c r="AA176" s="89">
        <f>(O176)+(0.4*I176)-(0.7*J176)-(0.4*(L176-K176))+(0.7*M176)+(0.3*N176)+S176+(0.7*Q176)+(0.7*R176)-(0.4*U176)-T176</f>
        <v>15.599999999999998</v>
      </c>
      <c r="AB176" s="167" t="s">
        <v>27</v>
      </c>
    </row>
    <row r="177" spans="1:28" ht="39.950000000000003" customHeight="1" x14ac:dyDescent="0.5">
      <c r="A177" s="44" t="str">
        <f>A176</f>
        <v>Ripperz</v>
      </c>
      <c r="B177" s="44">
        <f>B176</f>
        <v>2</v>
      </c>
      <c r="C177" s="44">
        <f>C176</f>
        <v>11</v>
      </c>
      <c r="D177" s="86" t="s">
        <v>28</v>
      </c>
      <c r="E177" s="90">
        <v>6</v>
      </c>
      <c r="F177" s="90">
        <v>10</v>
      </c>
      <c r="G177" s="90">
        <v>2</v>
      </c>
      <c r="H177" s="90">
        <v>7</v>
      </c>
      <c r="I177" s="90">
        <f t="shared" ref="I177:J180" si="314">E177+G177</f>
        <v>8</v>
      </c>
      <c r="J177" s="90">
        <f t="shared" si="314"/>
        <v>17</v>
      </c>
      <c r="K177" s="90">
        <v>0</v>
      </c>
      <c r="L177" s="90">
        <v>0</v>
      </c>
      <c r="M177" s="90">
        <v>4</v>
      </c>
      <c r="N177" s="90">
        <v>7</v>
      </c>
      <c r="O177" s="90">
        <f t="shared" ref="O177:O180" si="315">E177*2+G177*3+K177</f>
        <v>18</v>
      </c>
      <c r="P177" s="90">
        <f t="shared" ref="P177:P180" si="316">M177+N177</f>
        <v>11</v>
      </c>
      <c r="Q177" s="90">
        <v>3</v>
      </c>
      <c r="R177" s="90">
        <v>3</v>
      </c>
      <c r="S177" s="90">
        <v>4</v>
      </c>
      <c r="T177" s="90">
        <v>3</v>
      </c>
      <c r="U177" s="90">
        <v>4</v>
      </c>
      <c r="V177" s="91">
        <f t="shared" ref="V177:V181" si="317">IFERROR(I177/J177,0)</f>
        <v>0.47058823529411764</v>
      </c>
      <c r="W177" s="91">
        <f t="shared" ref="W177:W181" si="318">IFERROR(O177/(2*(J177+0.44*L177)), 0)</f>
        <v>0.52941176470588236</v>
      </c>
      <c r="X177" s="91">
        <f t="shared" ref="X177:X181" si="319">IFERROR(K177/L177,0)</f>
        <v>0</v>
      </c>
      <c r="Y177" s="91">
        <f t="shared" ref="Y177:Y181" si="320">IFERROR(E177/F177,0)</f>
        <v>0.6</v>
      </c>
      <c r="Z177" s="91">
        <f t="shared" ref="Z177:Z181" si="321">IFERROR(G177/H177,0)</f>
        <v>0.2857142857142857</v>
      </c>
      <c r="AA177" s="92">
        <f t="shared" ref="AA177:AA180" si="322">(O177)+(0.4*I177)-(0.7*J177)-(0.4*(L177-K177))+(0.7*M177)+(0.3*N177)+S177+(0.7*Q177)+(0.7*R177)-(0.4*U177)-T177</f>
        <v>17.800000000000004</v>
      </c>
      <c r="AB177" s="46" t="str">
        <f>AB176</f>
        <v>REG</v>
      </c>
    </row>
    <row r="178" spans="1:28" ht="39.950000000000003" customHeight="1" x14ac:dyDescent="0.5">
      <c r="A178" s="44" t="str">
        <f t="shared" ref="A178:C180" si="323">A177</f>
        <v>Ripperz</v>
      </c>
      <c r="B178" s="44">
        <f t="shared" si="323"/>
        <v>2</v>
      </c>
      <c r="C178" s="44">
        <f t="shared" si="323"/>
        <v>11</v>
      </c>
      <c r="D178" s="86" t="s">
        <v>30</v>
      </c>
      <c r="E178" s="93">
        <v>2</v>
      </c>
      <c r="F178" s="93">
        <v>2</v>
      </c>
      <c r="G178" s="93">
        <v>3</v>
      </c>
      <c r="H178" s="93">
        <v>6</v>
      </c>
      <c r="I178" s="93">
        <f t="shared" si="314"/>
        <v>5</v>
      </c>
      <c r="J178" s="93">
        <f t="shared" si="314"/>
        <v>8</v>
      </c>
      <c r="K178" s="93">
        <v>0</v>
      </c>
      <c r="L178" s="93">
        <v>0</v>
      </c>
      <c r="M178" s="93">
        <v>1</v>
      </c>
      <c r="N178" s="93">
        <v>10</v>
      </c>
      <c r="O178" s="93">
        <f t="shared" si="315"/>
        <v>13</v>
      </c>
      <c r="P178" s="93">
        <f t="shared" si="316"/>
        <v>11</v>
      </c>
      <c r="Q178" s="93">
        <v>5</v>
      </c>
      <c r="R178" s="93">
        <v>1</v>
      </c>
      <c r="S178" s="93">
        <v>1</v>
      </c>
      <c r="T178" s="93">
        <v>3</v>
      </c>
      <c r="U178" s="93">
        <v>1</v>
      </c>
      <c r="V178" s="94">
        <f t="shared" si="317"/>
        <v>0.625</v>
      </c>
      <c r="W178" s="94">
        <f t="shared" si="318"/>
        <v>0.8125</v>
      </c>
      <c r="X178" s="94">
        <f t="shared" si="319"/>
        <v>0</v>
      </c>
      <c r="Y178" s="94">
        <f t="shared" si="320"/>
        <v>1</v>
      </c>
      <c r="Z178" s="94">
        <f t="shared" si="321"/>
        <v>0.5</v>
      </c>
      <c r="AA178" s="95">
        <f t="shared" si="322"/>
        <v>14.900000000000002</v>
      </c>
      <c r="AB178" s="46" t="str">
        <f t="shared" ref="AB178:AB182" si="324">AB177</f>
        <v>REG</v>
      </c>
    </row>
    <row r="179" spans="1:28" ht="39.950000000000003" customHeight="1" x14ac:dyDescent="0.5">
      <c r="A179" s="44" t="str">
        <f t="shared" si="323"/>
        <v>Ripperz</v>
      </c>
      <c r="B179" s="44">
        <f t="shared" si="323"/>
        <v>2</v>
      </c>
      <c r="C179" s="44">
        <f t="shared" si="323"/>
        <v>11</v>
      </c>
      <c r="D179" s="86" t="s">
        <v>45</v>
      </c>
      <c r="E179" s="99">
        <v>6</v>
      </c>
      <c r="F179" s="99">
        <v>10</v>
      </c>
      <c r="G179" s="99">
        <v>0</v>
      </c>
      <c r="H179" s="99">
        <v>3</v>
      </c>
      <c r="I179" s="99">
        <f t="shared" si="314"/>
        <v>6</v>
      </c>
      <c r="J179" s="99">
        <f t="shared" si="314"/>
        <v>13</v>
      </c>
      <c r="K179" s="99">
        <v>0</v>
      </c>
      <c r="L179" s="99">
        <v>0</v>
      </c>
      <c r="M179" s="99">
        <v>2</v>
      </c>
      <c r="N179" s="99">
        <v>14</v>
      </c>
      <c r="O179" s="99">
        <f t="shared" si="315"/>
        <v>12</v>
      </c>
      <c r="P179" s="99">
        <f t="shared" si="316"/>
        <v>16</v>
      </c>
      <c r="Q179" s="99">
        <v>5</v>
      </c>
      <c r="R179" s="99">
        <v>3</v>
      </c>
      <c r="S179" s="99">
        <v>0</v>
      </c>
      <c r="T179" s="99">
        <v>1</v>
      </c>
      <c r="U179" s="99">
        <v>1</v>
      </c>
      <c r="V179" s="100">
        <f t="shared" si="317"/>
        <v>0.46153846153846156</v>
      </c>
      <c r="W179" s="100">
        <f t="shared" si="318"/>
        <v>0.46153846153846156</v>
      </c>
      <c r="X179" s="100">
        <f t="shared" si="319"/>
        <v>0</v>
      </c>
      <c r="Y179" s="100">
        <f t="shared" si="320"/>
        <v>0.6</v>
      </c>
      <c r="Z179" s="100">
        <f t="shared" si="321"/>
        <v>0</v>
      </c>
      <c r="AA179" s="101">
        <f t="shared" si="322"/>
        <v>15.100000000000001</v>
      </c>
      <c r="AB179" s="46" t="str">
        <f t="shared" si="324"/>
        <v>REG</v>
      </c>
    </row>
    <row r="180" spans="1:28" ht="39.950000000000003" customHeight="1" x14ac:dyDescent="0.5">
      <c r="A180" s="44" t="str">
        <f t="shared" si="323"/>
        <v>Ripperz</v>
      </c>
      <c r="B180" s="44">
        <f t="shared" si="323"/>
        <v>2</v>
      </c>
      <c r="C180" s="44">
        <f t="shared" si="323"/>
        <v>11</v>
      </c>
      <c r="D180" s="86" t="s">
        <v>41</v>
      </c>
      <c r="E180" s="163">
        <v>0</v>
      </c>
      <c r="F180" s="163">
        <v>1</v>
      </c>
      <c r="G180" s="163">
        <v>0</v>
      </c>
      <c r="H180" s="163">
        <v>11</v>
      </c>
      <c r="I180" s="163">
        <f t="shared" si="314"/>
        <v>0</v>
      </c>
      <c r="J180" s="163">
        <f t="shared" si="314"/>
        <v>12</v>
      </c>
      <c r="K180" s="163">
        <v>0</v>
      </c>
      <c r="L180" s="163">
        <v>0</v>
      </c>
      <c r="M180" s="163">
        <v>1</v>
      </c>
      <c r="N180" s="163">
        <v>2</v>
      </c>
      <c r="O180" s="163">
        <f t="shared" si="315"/>
        <v>0</v>
      </c>
      <c r="P180" s="163">
        <f t="shared" si="316"/>
        <v>3</v>
      </c>
      <c r="Q180" s="163">
        <v>2</v>
      </c>
      <c r="R180" s="163">
        <v>0</v>
      </c>
      <c r="S180" s="163">
        <v>1</v>
      </c>
      <c r="T180" s="163">
        <v>2</v>
      </c>
      <c r="U180" s="163">
        <v>0</v>
      </c>
      <c r="V180" s="164">
        <f t="shared" si="317"/>
        <v>0</v>
      </c>
      <c r="W180" s="164">
        <f t="shared" si="318"/>
        <v>0</v>
      </c>
      <c r="X180" s="164">
        <f t="shared" si="319"/>
        <v>0</v>
      </c>
      <c r="Y180" s="164">
        <f t="shared" si="320"/>
        <v>0</v>
      </c>
      <c r="Z180" s="164">
        <f t="shared" si="321"/>
        <v>0</v>
      </c>
      <c r="AA180" s="165">
        <f t="shared" si="322"/>
        <v>-6.6999999999999993</v>
      </c>
      <c r="AB180" s="46" t="str">
        <f t="shared" si="324"/>
        <v>REG</v>
      </c>
    </row>
    <row r="181" spans="1:28" ht="39.950000000000003" customHeight="1" x14ac:dyDescent="0.5">
      <c r="A181" s="44" t="str">
        <f>A179</f>
        <v>Ripperz</v>
      </c>
      <c r="B181" s="44">
        <f>B179</f>
        <v>2</v>
      </c>
      <c r="C181" s="44">
        <f>C179</f>
        <v>11</v>
      </c>
      <c r="D181" s="86" t="s">
        <v>32</v>
      </c>
      <c r="E181" s="105">
        <f t="shared" ref="E181:U181" si="325">SUM(E176:E180)</f>
        <v>22</v>
      </c>
      <c r="F181" s="105">
        <f t="shared" si="325"/>
        <v>39</v>
      </c>
      <c r="G181" s="105">
        <f t="shared" si="325"/>
        <v>7</v>
      </c>
      <c r="H181" s="105">
        <f t="shared" si="325"/>
        <v>31</v>
      </c>
      <c r="I181" s="105">
        <f t="shared" si="325"/>
        <v>29</v>
      </c>
      <c r="J181" s="105">
        <f t="shared" si="325"/>
        <v>70</v>
      </c>
      <c r="K181" s="105">
        <f t="shared" si="325"/>
        <v>0</v>
      </c>
      <c r="L181" s="105">
        <f t="shared" si="325"/>
        <v>2</v>
      </c>
      <c r="M181" s="105">
        <f t="shared" si="325"/>
        <v>9</v>
      </c>
      <c r="N181" s="105">
        <f t="shared" si="325"/>
        <v>44</v>
      </c>
      <c r="O181" s="105">
        <f t="shared" si="325"/>
        <v>65</v>
      </c>
      <c r="P181" s="105">
        <f t="shared" si="325"/>
        <v>53</v>
      </c>
      <c r="Q181" s="105">
        <f t="shared" si="325"/>
        <v>18</v>
      </c>
      <c r="R181" s="105">
        <f t="shared" si="325"/>
        <v>8</v>
      </c>
      <c r="S181" s="105">
        <f t="shared" si="325"/>
        <v>7</v>
      </c>
      <c r="T181" s="105">
        <f t="shared" si="325"/>
        <v>12</v>
      </c>
      <c r="U181" s="105">
        <f t="shared" si="325"/>
        <v>7</v>
      </c>
      <c r="V181" s="106">
        <f t="shared" si="317"/>
        <v>0.41428571428571431</v>
      </c>
      <c r="W181" s="106">
        <f t="shared" si="318"/>
        <v>0.45852144469525963</v>
      </c>
      <c r="X181" s="106">
        <f t="shared" si="319"/>
        <v>0</v>
      </c>
      <c r="Y181" s="106">
        <f t="shared" si="320"/>
        <v>0.5641025641025641</v>
      </c>
      <c r="Z181" s="106">
        <f t="shared" si="321"/>
        <v>0.22580645161290322</v>
      </c>
      <c r="AA181" s="107">
        <f>AVERAGE(AA176:AA180)</f>
        <v>11.340000000000003</v>
      </c>
      <c r="AB181" s="46" t="str">
        <f t="shared" si="324"/>
        <v>REG</v>
      </c>
    </row>
    <row r="182" spans="1:28" ht="39.950000000000003" customHeight="1" x14ac:dyDescent="0.55000000000000004">
      <c r="A182" s="44" t="s">
        <v>33</v>
      </c>
      <c r="B182" s="44">
        <f t="shared" ref="B182:C182" si="326">B181</f>
        <v>2</v>
      </c>
      <c r="C182" s="44">
        <f t="shared" si="326"/>
        <v>11</v>
      </c>
      <c r="D182" s="82" t="s">
        <v>58</v>
      </c>
      <c r="E182" s="83"/>
      <c r="F182" s="83"/>
      <c r="G182" s="83"/>
      <c r="H182" s="83"/>
      <c r="I182" s="83"/>
      <c r="J182" s="83"/>
      <c r="K182" s="83"/>
      <c r="L182" s="83"/>
      <c r="M182" s="83"/>
      <c r="N182" s="83"/>
      <c r="O182" s="83">
        <v>47</v>
      </c>
      <c r="P182" s="83"/>
      <c r="Q182" s="83"/>
      <c r="R182" s="83"/>
      <c r="S182" s="83"/>
      <c r="T182" s="83"/>
      <c r="U182" s="83"/>
      <c r="V182" s="83"/>
      <c r="W182" s="83"/>
      <c r="X182" s="83"/>
      <c r="Y182" s="83"/>
      <c r="Z182" s="83"/>
      <c r="AA182" s="83"/>
      <c r="AB182" s="46" t="str">
        <f t="shared" si="324"/>
        <v>REG</v>
      </c>
    </row>
    <row r="183" spans="1:28" ht="39.950000000000003" customHeight="1" x14ac:dyDescent="0.5">
      <c r="A183" s="44" t="str">
        <f>D189</f>
        <v>Park City</v>
      </c>
      <c r="B183" s="44">
        <v>2</v>
      </c>
      <c r="C183" s="44">
        <v>12</v>
      </c>
      <c r="D183" s="86" t="s">
        <v>36</v>
      </c>
      <c r="E183" s="87">
        <v>10</v>
      </c>
      <c r="F183" s="87">
        <v>20</v>
      </c>
      <c r="G183" s="87">
        <v>0</v>
      </c>
      <c r="H183" s="87">
        <v>2</v>
      </c>
      <c r="I183" s="87">
        <f>E183+G183</f>
        <v>10</v>
      </c>
      <c r="J183" s="87">
        <f>F183+H183</f>
        <v>22</v>
      </c>
      <c r="K183" s="87">
        <v>2</v>
      </c>
      <c r="L183" s="87">
        <v>2</v>
      </c>
      <c r="M183" s="87">
        <v>4</v>
      </c>
      <c r="N183" s="87">
        <v>6</v>
      </c>
      <c r="O183" s="87">
        <f>E183*2+G183*3+K183</f>
        <v>22</v>
      </c>
      <c r="P183" s="87">
        <f>M183+N183</f>
        <v>10</v>
      </c>
      <c r="Q183" s="87">
        <v>6</v>
      </c>
      <c r="R183" s="87">
        <v>0</v>
      </c>
      <c r="S183" s="87">
        <v>1</v>
      </c>
      <c r="T183" s="87">
        <v>3</v>
      </c>
      <c r="U183" s="87">
        <v>1</v>
      </c>
      <c r="V183" s="88">
        <f>IFERROR(I183/J183,0)</f>
        <v>0.45454545454545453</v>
      </c>
      <c r="W183" s="88">
        <f>IFERROR(O183/(2*(J183+0.44*L183)), 0)</f>
        <v>0.48076923076923078</v>
      </c>
      <c r="X183" s="88">
        <f>IFERROR(K183/L183,0)</f>
        <v>1</v>
      </c>
      <c r="Y183" s="88">
        <f>IFERROR(E183/F183,0)</f>
        <v>0.5</v>
      </c>
      <c r="Z183" s="88">
        <f>IFERROR(G183/H183,0)</f>
        <v>0</v>
      </c>
      <c r="AA183" s="89">
        <f>(O183)+(0.4*I183)-(0.7*J183)-(0.4*(L183-K183))+(0.7*M183)+(0.3*N183)+S183+(0.7*Q183)+(0.7*R183)-(0.4*U183)-T183</f>
        <v>17.000000000000004</v>
      </c>
      <c r="AB183" s="167" t="s">
        <v>27</v>
      </c>
    </row>
    <row r="184" spans="1:28" ht="39.950000000000003" customHeight="1" x14ac:dyDescent="0.5">
      <c r="A184" s="44" t="str">
        <f>A183</f>
        <v>Park City</v>
      </c>
      <c r="B184" s="44">
        <f>B183</f>
        <v>2</v>
      </c>
      <c r="C184" s="44">
        <f>C183</f>
        <v>12</v>
      </c>
      <c r="D184" s="86" t="s">
        <v>28</v>
      </c>
      <c r="E184" s="90">
        <v>4</v>
      </c>
      <c r="F184" s="90">
        <v>8</v>
      </c>
      <c r="G184" s="90">
        <v>3</v>
      </c>
      <c r="H184" s="90">
        <v>10</v>
      </c>
      <c r="I184" s="90">
        <f t="shared" ref="I184:J187" si="327">E184+G184</f>
        <v>7</v>
      </c>
      <c r="J184" s="90">
        <f t="shared" si="327"/>
        <v>18</v>
      </c>
      <c r="K184" s="90">
        <v>0</v>
      </c>
      <c r="L184" s="90">
        <v>0</v>
      </c>
      <c r="M184" s="90">
        <v>1</v>
      </c>
      <c r="N184" s="90">
        <v>9</v>
      </c>
      <c r="O184" s="90">
        <f t="shared" ref="O184:O187" si="328">E184*2+G184*3+K184</f>
        <v>17</v>
      </c>
      <c r="P184" s="90">
        <f t="shared" ref="P184:P187" si="329">M184+N184</f>
        <v>10</v>
      </c>
      <c r="Q184" s="90">
        <v>5</v>
      </c>
      <c r="R184" s="90">
        <v>2</v>
      </c>
      <c r="S184" s="90">
        <v>4</v>
      </c>
      <c r="T184" s="90">
        <v>2</v>
      </c>
      <c r="U184" s="90">
        <v>0</v>
      </c>
      <c r="V184" s="91">
        <f t="shared" ref="V184:V188" si="330">IFERROR(I184/J184,0)</f>
        <v>0.3888888888888889</v>
      </c>
      <c r="W184" s="91">
        <f t="shared" ref="W184:W188" si="331">IFERROR(O184/(2*(J184+0.44*L184)), 0)</f>
        <v>0.47222222222222221</v>
      </c>
      <c r="X184" s="91">
        <f t="shared" ref="X184:X188" si="332">IFERROR(K184/L184,0)</f>
        <v>0</v>
      </c>
      <c r="Y184" s="91">
        <f t="shared" ref="Y184:Y188" si="333">IFERROR(E184/F184,0)</f>
        <v>0.5</v>
      </c>
      <c r="Z184" s="91">
        <f t="shared" ref="Z184:Z188" si="334">IFERROR(G184/H184,0)</f>
        <v>0.3</v>
      </c>
      <c r="AA184" s="92">
        <f t="shared" ref="AA184:AA187" si="335">(O184)+(0.4*I184)-(0.7*J184)-(0.4*(L184-K184))+(0.7*M184)+(0.3*N184)+S184+(0.7*Q184)+(0.7*R184)-(0.4*U184)-T184</f>
        <v>17.5</v>
      </c>
      <c r="AB184" s="46" t="str">
        <f>AB183</f>
        <v>REG</v>
      </c>
    </row>
    <row r="185" spans="1:28" ht="39.950000000000003" customHeight="1" x14ac:dyDescent="0.5">
      <c r="A185" s="44" t="str">
        <f t="shared" ref="A185:C185" si="336">A184</f>
        <v>Park City</v>
      </c>
      <c r="B185" s="44">
        <f t="shared" si="336"/>
        <v>2</v>
      </c>
      <c r="C185" s="44">
        <f t="shared" si="336"/>
        <v>12</v>
      </c>
      <c r="D185" s="86" t="s">
        <v>45</v>
      </c>
      <c r="E185" s="99">
        <v>9</v>
      </c>
      <c r="F185" s="99">
        <v>22</v>
      </c>
      <c r="G185" s="99">
        <v>0</v>
      </c>
      <c r="H185" s="99">
        <v>4</v>
      </c>
      <c r="I185" s="99">
        <f t="shared" si="327"/>
        <v>9</v>
      </c>
      <c r="J185" s="99">
        <f t="shared" si="327"/>
        <v>26</v>
      </c>
      <c r="K185" s="99">
        <v>1</v>
      </c>
      <c r="L185" s="99">
        <v>2</v>
      </c>
      <c r="M185" s="99">
        <v>8</v>
      </c>
      <c r="N185" s="99">
        <v>12</v>
      </c>
      <c r="O185" s="99">
        <f t="shared" si="328"/>
        <v>19</v>
      </c>
      <c r="P185" s="99">
        <f t="shared" si="329"/>
        <v>20</v>
      </c>
      <c r="Q185" s="99">
        <v>4</v>
      </c>
      <c r="R185" s="99">
        <v>0</v>
      </c>
      <c r="S185" s="99">
        <v>3</v>
      </c>
      <c r="T185" s="99">
        <v>0</v>
      </c>
      <c r="U185" s="99">
        <v>0</v>
      </c>
      <c r="V185" s="100">
        <f t="shared" si="330"/>
        <v>0.34615384615384615</v>
      </c>
      <c r="W185" s="100">
        <f t="shared" si="331"/>
        <v>0.35342261904761907</v>
      </c>
      <c r="X185" s="100">
        <f t="shared" si="332"/>
        <v>0.5</v>
      </c>
      <c r="Y185" s="100">
        <f t="shared" si="333"/>
        <v>0.40909090909090912</v>
      </c>
      <c r="Z185" s="100">
        <f t="shared" si="334"/>
        <v>0</v>
      </c>
      <c r="AA185" s="101">
        <f t="shared" si="335"/>
        <v>19.000000000000004</v>
      </c>
      <c r="AB185" s="46" t="str">
        <f t="shared" ref="AB185" si="337">AB184</f>
        <v>REG</v>
      </c>
    </row>
    <row r="186" spans="1:28" ht="39.950000000000003" customHeight="1" x14ac:dyDescent="0.5">
      <c r="A186" s="44" t="str">
        <f t="shared" ref="A186:C186" si="338">A184</f>
        <v>Park City</v>
      </c>
      <c r="B186" s="44">
        <f t="shared" si="338"/>
        <v>2</v>
      </c>
      <c r="C186" s="44">
        <f t="shared" si="338"/>
        <v>12</v>
      </c>
      <c r="D186" s="86" t="s">
        <v>51</v>
      </c>
      <c r="E186" s="102">
        <v>4</v>
      </c>
      <c r="F186" s="102">
        <v>10</v>
      </c>
      <c r="G186" s="102">
        <v>0</v>
      </c>
      <c r="H186" s="102">
        <v>3</v>
      </c>
      <c r="I186" s="102">
        <f t="shared" si="327"/>
        <v>4</v>
      </c>
      <c r="J186" s="102">
        <f t="shared" si="327"/>
        <v>13</v>
      </c>
      <c r="K186" s="102">
        <v>2</v>
      </c>
      <c r="L186" s="102">
        <v>3</v>
      </c>
      <c r="M186" s="102">
        <v>9</v>
      </c>
      <c r="N186" s="102">
        <v>7</v>
      </c>
      <c r="O186" s="102">
        <f t="shared" si="328"/>
        <v>10</v>
      </c>
      <c r="P186" s="102">
        <f t="shared" si="329"/>
        <v>16</v>
      </c>
      <c r="Q186" s="102">
        <v>3</v>
      </c>
      <c r="R186" s="102">
        <v>0</v>
      </c>
      <c r="S186" s="102">
        <v>1</v>
      </c>
      <c r="T186" s="102">
        <v>4</v>
      </c>
      <c r="U186" s="102">
        <v>0</v>
      </c>
      <c r="V186" s="103">
        <f t="shared" si="330"/>
        <v>0.30769230769230771</v>
      </c>
      <c r="W186" s="103">
        <f t="shared" si="331"/>
        <v>0.34916201117318435</v>
      </c>
      <c r="X186" s="103">
        <f t="shared" si="332"/>
        <v>0.66666666666666663</v>
      </c>
      <c r="Y186" s="103">
        <f t="shared" si="333"/>
        <v>0.4</v>
      </c>
      <c r="Z186" s="103">
        <f t="shared" si="334"/>
        <v>0</v>
      </c>
      <c r="AA186" s="104">
        <f t="shared" si="335"/>
        <v>9.6</v>
      </c>
      <c r="AB186" s="46" t="str">
        <f>AB185</f>
        <v>REG</v>
      </c>
    </row>
    <row r="187" spans="1:28" ht="39.950000000000003" customHeight="1" x14ac:dyDescent="0.5">
      <c r="A187" s="44" t="str">
        <f>A186</f>
        <v>Park City</v>
      </c>
      <c r="B187" s="44">
        <f t="shared" ref="B187:C187" si="339">B186</f>
        <v>2</v>
      </c>
      <c r="C187" s="44">
        <f t="shared" si="339"/>
        <v>12</v>
      </c>
      <c r="D187" s="86" t="s">
        <v>41</v>
      </c>
      <c r="E187" s="163">
        <v>0</v>
      </c>
      <c r="F187" s="163">
        <v>0</v>
      </c>
      <c r="G187" s="163">
        <v>1</v>
      </c>
      <c r="H187" s="163">
        <v>9</v>
      </c>
      <c r="I187" s="163">
        <f t="shared" si="327"/>
        <v>1</v>
      </c>
      <c r="J187" s="163">
        <f t="shared" si="327"/>
        <v>9</v>
      </c>
      <c r="K187" s="163">
        <v>0</v>
      </c>
      <c r="L187" s="163">
        <v>0</v>
      </c>
      <c r="M187" s="163">
        <v>3</v>
      </c>
      <c r="N187" s="163">
        <v>0</v>
      </c>
      <c r="O187" s="163">
        <f t="shared" si="328"/>
        <v>3</v>
      </c>
      <c r="P187" s="163">
        <f t="shared" si="329"/>
        <v>3</v>
      </c>
      <c r="Q187" s="163">
        <v>2</v>
      </c>
      <c r="R187" s="163">
        <v>0</v>
      </c>
      <c r="S187" s="163">
        <v>0</v>
      </c>
      <c r="T187" s="163">
        <v>0</v>
      </c>
      <c r="U187" s="163">
        <v>0</v>
      </c>
      <c r="V187" s="164">
        <f t="shared" si="330"/>
        <v>0.1111111111111111</v>
      </c>
      <c r="W187" s="164">
        <f t="shared" si="331"/>
        <v>0.16666666666666666</v>
      </c>
      <c r="X187" s="164">
        <f t="shared" si="332"/>
        <v>0</v>
      </c>
      <c r="Y187" s="164">
        <f t="shared" si="333"/>
        <v>0</v>
      </c>
      <c r="Z187" s="164">
        <f t="shared" si="334"/>
        <v>0.1111111111111111</v>
      </c>
      <c r="AA187" s="165">
        <f t="shared" si="335"/>
        <v>0.59999999999999964</v>
      </c>
      <c r="AB187" s="46" t="str">
        <f>AB186</f>
        <v>REG</v>
      </c>
    </row>
    <row r="188" spans="1:28" ht="39.950000000000003" customHeight="1" x14ac:dyDescent="0.5">
      <c r="A188" s="44" t="str">
        <f>A185</f>
        <v>Park City</v>
      </c>
      <c r="B188" s="44">
        <f>B185</f>
        <v>2</v>
      </c>
      <c r="C188" s="44">
        <f>C185</f>
        <v>12</v>
      </c>
      <c r="D188" s="86" t="s">
        <v>32</v>
      </c>
      <c r="E188" s="105">
        <f>SUM(E182:E187)</f>
        <v>27</v>
      </c>
      <c r="F188" s="105">
        <f t="shared" ref="F188:U188" si="340">SUM(F182:F187)</f>
        <v>60</v>
      </c>
      <c r="G188" s="105">
        <f t="shared" si="340"/>
        <v>4</v>
      </c>
      <c r="H188" s="105">
        <f t="shared" si="340"/>
        <v>28</v>
      </c>
      <c r="I188" s="105">
        <f t="shared" si="340"/>
        <v>31</v>
      </c>
      <c r="J188" s="105">
        <f t="shared" si="340"/>
        <v>88</v>
      </c>
      <c r="K188" s="105">
        <f t="shared" si="340"/>
        <v>5</v>
      </c>
      <c r="L188" s="105">
        <f t="shared" si="340"/>
        <v>7</v>
      </c>
      <c r="M188" s="105">
        <f t="shared" si="340"/>
        <v>25</v>
      </c>
      <c r="N188" s="105">
        <f t="shared" si="340"/>
        <v>34</v>
      </c>
      <c r="O188" s="105">
        <f>SUM(O183:O187)</f>
        <v>71</v>
      </c>
      <c r="P188" s="105">
        <f t="shared" si="340"/>
        <v>59</v>
      </c>
      <c r="Q188" s="105">
        <f t="shared" si="340"/>
        <v>20</v>
      </c>
      <c r="R188" s="105">
        <f t="shared" si="340"/>
        <v>2</v>
      </c>
      <c r="S188" s="105">
        <f t="shared" si="340"/>
        <v>9</v>
      </c>
      <c r="T188" s="105">
        <f t="shared" si="340"/>
        <v>9</v>
      </c>
      <c r="U188" s="105">
        <f t="shared" si="340"/>
        <v>1</v>
      </c>
      <c r="V188" s="106">
        <f t="shared" si="330"/>
        <v>0.35227272727272729</v>
      </c>
      <c r="W188" s="106">
        <f t="shared" si="331"/>
        <v>0.38976723759332454</v>
      </c>
      <c r="X188" s="106">
        <f t="shared" si="332"/>
        <v>0.7142857142857143</v>
      </c>
      <c r="Y188" s="106">
        <f t="shared" si="333"/>
        <v>0.45</v>
      </c>
      <c r="Z188" s="106">
        <f t="shared" si="334"/>
        <v>0.14285714285714285</v>
      </c>
      <c r="AA188" s="107">
        <f>AVERAGE(AA182:AA187)</f>
        <v>12.74</v>
      </c>
      <c r="AB188" s="46" t="str">
        <f>AB186</f>
        <v>REG</v>
      </c>
    </row>
    <row r="189" spans="1:28" ht="39.950000000000003" customHeight="1" x14ac:dyDescent="0.55000000000000004">
      <c r="A189" s="44" t="s">
        <v>33</v>
      </c>
      <c r="B189" s="44">
        <f t="shared" ref="B189:C189" si="341">B188</f>
        <v>2</v>
      </c>
      <c r="C189" s="44">
        <f t="shared" si="341"/>
        <v>12</v>
      </c>
      <c r="D189" s="158" t="s">
        <v>59</v>
      </c>
      <c r="E189" s="83"/>
      <c r="F189" s="83"/>
      <c r="G189" s="83"/>
      <c r="H189" s="83"/>
      <c r="I189" s="83"/>
      <c r="J189" s="83"/>
      <c r="K189" s="83"/>
      <c r="L189" s="83"/>
      <c r="M189" s="83"/>
      <c r="N189" s="83"/>
      <c r="O189" s="83">
        <v>50</v>
      </c>
      <c r="P189" s="83"/>
      <c r="Q189" s="83"/>
      <c r="R189" s="83"/>
      <c r="S189" s="83"/>
      <c r="T189" s="83"/>
      <c r="U189" s="83"/>
      <c r="V189" s="83"/>
      <c r="W189" s="83"/>
      <c r="X189" s="83"/>
      <c r="Y189" s="83"/>
      <c r="Z189" s="83"/>
      <c r="AA189" s="83"/>
      <c r="AB189" s="46" t="str">
        <f>AB188</f>
        <v>REG</v>
      </c>
    </row>
    <row r="190" spans="1:28" ht="39.950000000000003" customHeight="1" x14ac:dyDescent="0.5">
      <c r="A190" s="44" t="str">
        <f>D197</f>
        <v>PRIME TIME</v>
      </c>
      <c r="B190" s="44">
        <v>2</v>
      </c>
      <c r="C190" s="44">
        <v>13</v>
      </c>
      <c r="D190" s="86" t="s">
        <v>36</v>
      </c>
      <c r="E190" s="87">
        <v>7</v>
      </c>
      <c r="F190" s="87">
        <v>11</v>
      </c>
      <c r="G190" s="87">
        <v>1</v>
      </c>
      <c r="H190" s="87">
        <v>3</v>
      </c>
      <c r="I190" s="87">
        <f>E190+G190</f>
        <v>8</v>
      </c>
      <c r="J190" s="87">
        <f>F190+H190</f>
        <v>14</v>
      </c>
      <c r="K190" s="87">
        <v>2</v>
      </c>
      <c r="L190" s="87">
        <v>6</v>
      </c>
      <c r="M190" s="87">
        <v>3</v>
      </c>
      <c r="N190" s="87">
        <v>4</v>
      </c>
      <c r="O190" s="87">
        <f>E190*2+G190*3+K190</f>
        <v>19</v>
      </c>
      <c r="P190" s="87">
        <f>M190+N190</f>
        <v>7</v>
      </c>
      <c r="Q190" s="87">
        <v>6</v>
      </c>
      <c r="R190" s="87">
        <v>0</v>
      </c>
      <c r="S190" s="87">
        <v>4</v>
      </c>
      <c r="T190" s="87">
        <v>3</v>
      </c>
      <c r="U190" s="87">
        <v>3</v>
      </c>
      <c r="V190" s="88">
        <f>IFERROR(I190/J190,0)</f>
        <v>0.5714285714285714</v>
      </c>
      <c r="W190" s="88">
        <f>IFERROR(O190/(2*(J190+0.44*L190)), 0)</f>
        <v>0.57091346153846156</v>
      </c>
      <c r="X190" s="88">
        <f>IFERROR(K190/L190,0)</f>
        <v>0.33333333333333331</v>
      </c>
      <c r="Y190" s="88">
        <f>IFERROR(E190/F190,0)</f>
        <v>0.63636363636363635</v>
      </c>
      <c r="Z190" s="88">
        <f>IFERROR(G190/H190,0)</f>
        <v>0.33333333333333331</v>
      </c>
      <c r="AA190" s="89">
        <f>(O190)+(0.4*I190)-(0.7*J190)-(0.4*(L190-K190))+(0.7*M190)+(0.3*N190)+S190+(0.7*Q190)+(0.7*R190)-(0.4*U190)-T190</f>
        <v>18.100000000000001</v>
      </c>
      <c r="AB190" s="167" t="s">
        <v>53</v>
      </c>
    </row>
    <row r="191" spans="1:28" ht="39.950000000000003" customHeight="1" x14ac:dyDescent="0.5">
      <c r="A191" s="44" t="str">
        <f>A190</f>
        <v>PRIME TIME</v>
      </c>
      <c r="B191" s="44">
        <f>B190</f>
        <v>2</v>
      </c>
      <c r="C191" s="44">
        <f>C190</f>
        <v>13</v>
      </c>
      <c r="D191" s="86" t="s">
        <v>28</v>
      </c>
      <c r="E191" s="90">
        <v>2</v>
      </c>
      <c r="F191" s="90">
        <v>4</v>
      </c>
      <c r="G191" s="90">
        <v>1</v>
      </c>
      <c r="H191" s="90">
        <v>4</v>
      </c>
      <c r="I191" s="90">
        <f t="shared" ref="I191:J195" si="342">E191+G191</f>
        <v>3</v>
      </c>
      <c r="J191" s="90">
        <f t="shared" si="342"/>
        <v>8</v>
      </c>
      <c r="K191" s="90">
        <v>2</v>
      </c>
      <c r="L191" s="90">
        <v>4</v>
      </c>
      <c r="M191" s="90">
        <v>1</v>
      </c>
      <c r="N191" s="90">
        <v>4</v>
      </c>
      <c r="O191" s="90">
        <f t="shared" ref="O191:O195" si="343">E191*2+G191*3+K191</f>
        <v>9</v>
      </c>
      <c r="P191" s="90">
        <f t="shared" ref="P191:P195" si="344">M191+N191</f>
        <v>5</v>
      </c>
      <c r="Q191" s="90">
        <v>2</v>
      </c>
      <c r="R191" s="90">
        <v>2</v>
      </c>
      <c r="S191" s="90">
        <v>3</v>
      </c>
      <c r="T191" s="90">
        <v>6</v>
      </c>
      <c r="U191" s="90">
        <v>4</v>
      </c>
      <c r="V191" s="91">
        <f t="shared" ref="V191:V196" si="345">IFERROR(I191/J191,0)</f>
        <v>0.375</v>
      </c>
      <c r="W191" s="91">
        <f t="shared" ref="W191:W196" si="346">IFERROR(O191/(2*(J191+0.44*L191)), 0)</f>
        <v>0.46106557377049179</v>
      </c>
      <c r="X191" s="91">
        <f t="shared" ref="X191:X196" si="347">IFERROR(K191/L191,0)</f>
        <v>0.5</v>
      </c>
      <c r="Y191" s="91">
        <f t="shared" ref="Y191:Y196" si="348">IFERROR(E191/F191,0)</f>
        <v>0.5</v>
      </c>
      <c r="Z191" s="91">
        <f t="shared" ref="Z191:Z196" si="349">IFERROR(G191/H191,0)</f>
        <v>0.25</v>
      </c>
      <c r="AA191" s="92">
        <f t="shared" ref="AA191:AA195" si="350">(O191)+(0.4*I191)-(0.7*J191)-(0.4*(L191-K191))+(0.7*M191)+(0.3*N191)+S191+(0.7*Q191)+(0.7*R191)-(0.4*U191)-T191</f>
        <v>3.9000000000000004</v>
      </c>
      <c r="AB191" s="46" t="str">
        <f>AB190</f>
        <v>FINAL</v>
      </c>
    </row>
    <row r="192" spans="1:28" ht="39.950000000000003" customHeight="1" x14ac:dyDescent="0.5">
      <c r="A192" s="44" t="str">
        <f t="shared" ref="A192:C193" si="351">A191</f>
        <v>PRIME TIME</v>
      </c>
      <c r="B192" s="44">
        <f t="shared" si="351"/>
        <v>2</v>
      </c>
      <c r="C192" s="44">
        <f t="shared" si="351"/>
        <v>13</v>
      </c>
      <c r="D192" s="86" t="s">
        <v>29</v>
      </c>
      <c r="E192" s="93">
        <v>0</v>
      </c>
      <c r="F192" s="93">
        <v>0</v>
      </c>
      <c r="G192" s="93">
        <v>1</v>
      </c>
      <c r="H192" s="93">
        <v>1</v>
      </c>
      <c r="I192" s="93">
        <f t="shared" si="342"/>
        <v>1</v>
      </c>
      <c r="J192" s="93">
        <f t="shared" si="342"/>
        <v>1</v>
      </c>
      <c r="K192" s="93">
        <v>0</v>
      </c>
      <c r="L192" s="93">
        <v>0</v>
      </c>
      <c r="M192" s="93">
        <v>0</v>
      </c>
      <c r="N192" s="93">
        <v>0</v>
      </c>
      <c r="O192" s="93">
        <f t="shared" si="343"/>
        <v>3</v>
      </c>
      <c r="P192" s="93">
        <f t="shared" si="344"/>
        <v>0</v>
      </c>
      <c r="Q192" s="93">
        <v>0</v>
      </c>
      <c r="R192" s="93">
        <v>0</v>
      </c>
      <c r="S192" s="93">
        <v>1</v>
      </c>
      <c r="T192" s="93">
        <v>0</v>
      </c>
      <c r="U192" s="93">
        <v>0</v>
      </c>
      <c r="V192" s="94">
        <f t="shared" si="345"/>
        <v>1</v>
      </c>
      <c r="W192" s="94">
        <f t="shared" si="346"/>
        <v>1.5</v>
      </c>
      <c r="X192" s="94">
        <f t="shared" si="347"/>
        <v>0</v>
      </c>
      <c r="Y192" s="94">
        <f t="shared" si="348"/>
        <v>0</v>
      </c>
      <c r="Z192" s="94">
        <f t="shared" si="349"/>
        <v>1</v>
      </c>
      <c r="AA192" s="95">
        <f t="shared" si="350"/>
        <v>3.7</v>
      </c>
      <c r="AB192" s="46" t="str">
        <f t="shared" ref="AB192:AB193" si="352">AB191</f>
        <v>FINAL</v>
      </c>
    </row>
    <row r="193" spans="1:28" ht="39.950000000000003" customHeight="1" x14ac:dyDescent="0.5">
      <c r="A193" s="44" t="str">
        <f t="shared" si="351"/>
        <v>PRIME TIME</v>
      </c>
      <c r="B193" s="44">
        <f t="shared" si="351"/>
        <v>2</v>
      </c>
      <c r="C193" s="44">
        <f t="shared" si="351"/>
        <v>13</v>
      </c>
      <c r="D193" s="86" t="s">
        <v>45</v>
      </c>
      <c r="E193" s="99">
        <v>5</v>
      </c>
      <c r="F193" s="99">
        <v>7</v>
      </c>
      <c r="G193" s="99">
        <v>1</v>
      </c>
      <c r="H193" s="99">
        <v>2</v>
      </c>
      <c r="I193" s="99">
        <f t="shared" si="342"/>
        <v>6</v>
      </c>
      <c r="J193" s="99">
        <f t="shared" si="342"/>
        <v>9</v>
      </c>
      <c r="K193" s="99">
        <v>1</v>
      </c>
      <c r="L193" s="99">
        <v>4</v>
      </c>
      <c r="M193" s="99">
        <v>1</v>
      </c>
      <c r="N193" s="99">
        <v>3</v>
      </c>
      <c r="O193" s="99">
        <f t="shared" si="343"/>
        <v>14</v>
      </c>
      <c r="P193" s="99">
        <f t="shared" si="344"/>
        <v>4</v>
      </c>
      <c r="Q193" s="99">
        <v>2</v>
      </c>
      <c r="R193" s="99">
        <v>2</v>
      </c>
      <c r="S193" s="99">
        <v>2</v>
      </c>
      <c r="T193" s="99">
        <v>3</v>
      </c>
      <c r="U193" s="99">
        <v>3</v>
      </c>
      <c r="V193" s="100">
        <f t="shared" si="345"/>
        <v>0.66666666666666663</v>
      </c>
      <c r="W193" s="100">
        <f t="shared" si="346"/>
        <v>0.65055762081784385</v>
      </c>
      <c r="X193" s="100">
        <f t="shared" si="347"/>
        <v>0.25</v>
      </c>
      <c r="Y193" s="100">
        <f t="shared" si="348"/>
        <v>0.7142857142857143</v>
      </c>
      <c r="Z193" s="100">
        <f t="shared" si="349"/>
        <v>0.5</v>
      </c>
      <c r="AA193" s="101">
        <f t="shared" si="350"/>
        <v>11.099999999999998</v>
      </c>
      <c r="AB193" s="46" t="str">
        <f t="shared" si="352"/>
        <v>FINAL</v>
      </c>
    </row>
    <row r="194" spans="1:28" ht="39.950000000000003" customHeight="1" x14ac:dyDescent="0.5">
      <c r="A194" s="44" t="str">
        <f t="shared" ref="A194:C194" si="353">A192</f>
        <v>PRIME TIME</v>
      </c>
      <c r="B194" s="44">
        <f t="shared" si="353"/>
        <v>2</v>
      </c>
      <c r="C194" s="44">
        <f t="shared" si="353"/>
        <v>13</v>
      </c>
      <c r="D194" s="86" t="s">
        <v>51</v>
      </c>
      <c r="E194" s="102">
        <v>4</v>
      </c>
      <c r="F194" s="102">
        <v>5</v>
      </c>
      <c r="G194" s="102">
        <v>0</v>
      </c>
      <c r="H194" s="102">
        <v>1</v>
      </c>
      <c r="I194" s="102">
        <f t="shared" si="342"/>
        <v>4</v>
      </c>
      <c r="J194" s="102">
        <f t="shared" si="342"/>
        <v>6</v>
      </c>
      <c r="K194" s="102">
        <v>1</v>
      </c>
      <c r="L194" s="102">
        <v>6</v>
      </c>
      <c r="M194" s="102">
        <v>1</v>
      </c>
      <c r="N194" s="102">
        <v>6</v>
      </c>
      <c r="O194" s="102">
        <f t="shared" si="343"/>
        <v>9</v>
      </c>
      <c r="P194" s="102">
        <f t="shared" si="344"/>
        <v>7</v>
      </c>
      <c r="Q194" s="102">
        <v>1</v>
      </c>
      <c r="R194" s="102">
        <v>0</v>
      </c>
      <c r="S194" s="102">
        <v>0</v>
      </c>
      <c r="T194" s="102">
        <v>3</v>
      </c>
      <c r="U194" s="102">
        <v>2</v>
      </c>
      <c r="V194" s="103">
        <f t="shared" si="345"/>
        <v>0.66666666666666663</v>
      </c>
      <c r="W194" s="103">
        <f t="shared" si="346"/>
        <v>0.52083333333333326</v>
      </c>
      <c r="X194" s="103">
        <f t="shared" si="347"/>
        <v>0.16666666666666666</v>
      </c>
      <c r="Y194" s="103">
        <f t="shared" si="348"/>
        <v>0.8</v>
      </c>
      <c r="Z194" s="103">
        <f t="shared" si="349"/>
        <v>0</v>
      </c>
      <c r="AA194" s="104">
        <f t="shared" si="350"/>
        <v>3.8000000000000007</v>
      </c>
      <c r="AB194" s="46" t="str">
        <f>AB193</f>
        <v>FINAL</v>
      </c>
    </row>
    <row r="195" spans="1:28" ht="39.950000000000003" customHeight="1" x14ac:dyDescent="0.5">
      <c r="A195" s="44" t="str">
        <f>A194</f>
        <v>PRIME TIME</v>
      </c>
      <c r="B195" s="44">
        <f t="shared" ref="B195:C195" si="354">B194</f>
        <v>2</v>
      </c>
      <c r="C195" s="44">
        <f t="shared" si="354"/>
        <v>13</v>
      </c>
      <c r="D195" s="86" t="s">
        <v>41</v>
      </c>
      <c r="E195" s="163">
        <v>0</v>
      </c>
      <c r="F195" s="163">
        <v>0</v>
      </c>
      <c r="G195" s="163">
        <v>0</v>
      </c>
      <c r="H195" s="163">
        <v>1</v>
      </c>
      <c r="I195" s="163">
        <f t="shared" si="342"/>
        <v>0</v>
      </c>
      <c r="J195" s="163">
        <f t="shared" si="342"/>
        <v>1</v>
      </c>
      <c r="K195" s="163">
        <v>0</v>
      </c>
      <c r="L195" s="163">
        <v>0</v>
      </c>
      <c r="M195" s="163">
        <v>0</v>
      </c>
      <c r="N195" s="163">
        <v>1</v>
      </c>
      <c r="O195" s="163">
        <f t="shared" si="343"/>
        <v>0</v>
      </c>
      <c r="P195" s="163">
        <f t="shared" si="344"/>
        <v>1</v>
      </c>
      <c r="Q195" s="163">
        <v>1</v>
      </c>
      <c r="R195" s="163">
        <v>0</v>
      </c>
      <c r="S195" s="163">
        <v>1</v>
      </c>
      <c r="T195" s="163">
        <v>1</v>
      </c>
      <c r="U195" s="163">
        <v>0</v>
      </c>
      <c r="V195" s="164">
        <f t="shared" si="345"/>
        <v>0</v>
      </c>
      <c r="W195" s="164">
        <f t="shared" si="346"/>
        <v>0</v>
      </c>
      <c r="X195" s="164">
        <f t="shared" si="347"/>
        <v>0</v>
      </c>
      <c r="Y195" s="164">
        <f t="shared" si="348"/>
        <v>0</v>
      </c>
      <c r="Z195" s="164">
        <f t="shared" si="349"/>
        <v>0</v>
      </c>
      <c r="AA195" s="165">
        <f t="shared" si="350"/>
        <v>0.30000000000000004</v>
      </c>
      <c r="AB195" s="46" t="str">
        <f>AB194</f>
        <v>FINAL</v>
      </c>
    </row>
    <row r="196" spans="1:28" ht="39.950000000000003" customHeight="1" x14ac:dyDescent="0.5">
      <c r="A196" s="44" t="str">
        <f>A193</f>
        <v>PRIME TIME</v>
      </c>
      <c r="B196" s="44">
        <f>B193</f>
        <v>2</v>
      </c>
      <c r="C196" s="44">
        <f>C193</f>
        <v>13</v>
      </c>
      <c r="D196" s="86" t="s">
        <v>32</v>
      </c>
      <c r="E196" s="105">
        <f>SUM(E190:E195)</f>
        <v>18</v>
      </c>
      <c r="F196" s="105">
        <f t="shared" ref="F196:U196" si="355">SUM(F190:F195)</f>
        <v>27</v>
      </c>
      <c r="G196" s="105">
        <f t="shared" si="355"/>
        <v>4</v>
      </c>
      <c r="H196" s="105">
        <f t="shared" si="355"/>
        <v>12</v>
      </c>
      <c r="I196" s="105">
        <f t="shared" si="355"/>
        <v>22</v>
      </c>
      <c r="J196" s="105">
        <f t="shared" si="355"/>
        <v>39</v>
      </c>
      <c r="K196" s="105">
        <f t="shared" si="355"/>
        <v>6</v>
      </c>
      <c r="L196" s="105">
        <f t="shared" si="355"/>
        <v>20</v>
      </c>
      <c r="M196" s="105">
        <f t="shared" si="355"/>
        <v>6</v>
      </c>
      <c r="N196" s="105">
        <f t="shared" si="355"/>
        <v>18</v>
      </c>
      <c r="O196" s="105">
        <f t="shared" si="355"/>
        <v>54</v>
      </c>
      <c r="P196" s="105">
        <f t="shared" si="355"/>
        <v>24</v>
      </c>
      <c r="Q196" s="105">
        <f t="shared" si="355"/>
        <v>12</v>
      </c>
      <c r="R196" s="105">
        <f t="shared" si="355"/>
        <v>4</v>
      </c>
      <c r="S196" s="105">
        <f t="shared" si="355"/>
        <v>11</v>
      </c>
      <c r="T196" s="105">
        <f t="shared" si="355"/>
        <v>16</v>
      </c>
      <c r="U196" s="105">
        <f t="shared" si="355"/>
        <v>12</v>
      </c>
      <c r="V196" s="106">
        <f t="shared" si="345"/>
        <v>0.5641025641025641</v>
      </c>
      <c r="W196" s="106">
        <f t="shared" si="346"/>
        <v>0.56485355648535573</v>
      </c>
      <c r="X196" s="106">
        <f t="shared" si="347"/>
        <v>0.3</v>
      </c>
      <c r="Y196" s="106">
        <f t="shared" si="348"/>
        <v>0.66666666666666663</v>
      </c>
      <c r="Z196" s="106">
        <f t="shared" si="349"/>
        <v>0.33333333333333331</v>
      </c>
      <c r="AA196" s="107">
        <f>AVERAGE(AA190:AA195)</f>
        <v>6.8166666666666655</v>
      </c>
      <c r="AB196" s="46" t="str">
        <f>AB194</f>
        <v>FINAL</v>
      </c>
    </row>
    <row r="197" spans="1:28" ht="39.950000000000003" customHeight="1" x14ac:dyDescent="0.55000000000000004">
      <c r="A197" s="44" t="s">
        <v>33</v>
      </c>
      <c r="B197" s="44">
        <f t="shared" ref="B197:C197" si="356">B196</f>
        <v>2</v>
      </c>
      <c r="C197" s="44">
        <f t="shared" si="356"/>
        <v>13</v>
      </c>
      <c r="D197" s="158" t="s">
        <v>37</v>
      </c>
      <c r="E197" s="83"/>
      <c r="F197" s="83"/>
      <c r="G197" s="83"/>
      <c r="H197" s="83"/>
      <c r="I197" s="83"/>
      <c r="J197" s="83"/>
      <c r="K197" s="83"/>
      <c r="L197" s="83"/>
      <c r="M197" s="83"/>
      <c r="N197" s="83"/>
      <c r="O197" s="83">
        <v>59</v>
      </c>
      <c r="P197" s="83"/>
      <c r="Q197" s="83"/>
      <c r="R197" s="83"/>
      <c r="S197" s="83"/>
      <c r="T197" s="83"/>
      <c r="U197" s="83"/>
      <c r="V197" s="83"/>
      <c r="W197" s="83"/>
      <c r="X197" s="83"/>
      <c r="Y197" s="83"/>
      <c r="Z197" s="83"/>
      <c r="AA197" s="83"/>
      <c r="AB197" s="46" t="str">
        <f>AB196</f>
        <v>FINAL</v>
      </c>
    </row>
    <row r="198" spans="1:28" ht="39.950000000000003" customHeight="1" x14ac:dyDescent="0.5">
      <c r="A198" s="44" t="str">
        <f>D205</f>
        <v>Killer Barbies</v>
      </c>
      <c r="B198" s="44">
        <v>2</v>
      </c>
      <c r="C198" s="44">
        <v>14</v>
      </c>
      <c r="D198" s="86" t="s">
        <v>36</v>
      </c>
      <c r="E198" s="87">
        <v>6</v>
      </c>
      <c r="F198" s="87">
        <v>15</v>
      </c>
      <c r="G198" s="87">
        <v>0</v>
      </c>
      <c r="H198" s="87">
        <v>3</v>
      </c>
      <c r="I198" s="87">
        <f>E198+G198</f>
        <v>6</v>
      </c>
      <c r="J198" s="87">
        <f>F198+H198</f>
        <v>18</v>
      </c>
      <c r="K198" s="87">
        <v>3</v>
      </c>
      <c r="L198" s="87">
        <v>8</v>
      </c>
      <c r="M198" s="87">
        <v>4</v>
      </c>
      <c r="N198" s="87">
        <v>8</v>
      </c>
      <c r="O198" s="87">
        <f>E198*2+G198*3+K198</f>
        <v>15</v>
      </c>
      <c r="P198" s="87">
        <f>M198+N198</f>
        <v>12</v>
      </c>
      <c r="Q198" s="87">
        <v>2</v>
      </c>
      <c r="R198" s="87">
        <v>0</v>
      </c>
      <c r="S198" s="87">
        <v>1</v>
      </c>
      <c r="T198" s="87">
        <v>2</v>
      </c>
      <c r="U198" s="87">
        <v>1</v>
      </c>
      <c r="V198" s="88">
        <f>IFERROR(I198/J198,0)</f>
        <v>0.33333333333333331</v>
      </c>
      <c r="W198" s="88">
        <f>IFERROR(O198/(2*(J198+0.44*L198)), 0)</f>
        <v>0.34851301115241634</v>
      </c>
      <c r="X198" s="88">
        <f>IFERROR(K198/L198,0)</f>
        <v>0.375</v>
      </c>
      <c r="Y198" s="88">
        <f>IFERROR(E198/F198,0)</f>
        <v>0.4</v>
      </c>
      <c r="Z198" s="88">
        <f>IFERROR(G198/H198,0)</f>
        <v>0</v>
      </c>
      <c r="AA198" s="89">
        <f>(O198)+(0.4*I198)-(0.7*J198)-(0.4*(L198-K198))+(0.7*M198)+(0.3*N198)+S198+(0.7*Q198)+(0.7*R198)-(0.4*U198)-T198</f>
        <v>7.9999999999999982</v>
      </c>
      <c r="AB198" s="167" t="s">
        <v>53</v>
      </c>
    </row>
    <row r="199" spans="1:28" ht="39.950000000000003" customHeight="1" x14ac:dyDescent="0.5">
      <c r="A199" s="44" t="str">
        <f>A198</f>
        <v>Killer Barbies</v>
      </c>
      <c r="B199" s="44">
        <f>B198</f>
        <v>2</v>
      </c>
      <c r="C199" s="44">
        <f>C198</f>
        <v>14</v>
      </c>
      <c r="D199" s="86" t="s">
        <v>28</v>
      </c>
      <c r="E199" s="90">
        <v>3</v>
      </c>
      <c r="F199" s="90">
        <v>8</v>
      </c>
      <c r="G199" s="90">
        <v>4</v>
      </c>
      <c r="H199" s="90">
        <v>9</v>
      </c>
      <c r="I199" s="90">
        <f t="shared" ref="I199:J203" si="357">E199+G199</f>
        <v>7</v>
      </c>
      <c r="J199" s="90">
        <f t="shared" si="357"/>
        <v>17</v>
      </c>
      <c r="K199" s="90">
        <v>4</v>
      </c>
      <c r="L199" s="90">
        <v>4</v>
      </c>
      <c r="M199" s="90">
        <v>2</v>
      </c>
      <c r="N199" s="90">
        <v>7</v>
      </c>
      <c r="O199" s="90">
        <f t="shared" ref="O199:O203" si="358">E199*2+G199*3+K199</f>
        <v>22</v>
      </c>
      <c r="P199" s="90">
        <f t="shared" ref="P199:P203" si="359">M199+N199</f>
        <v>9</v>
      </c>
      <c r="Q199" s="90">
        <v>4</v>
      </c>
      <c r="R199" s="90">
        <v>0</v>
      </c>
      <c r="S199" s="90">
        <v>4</v>
      </c>
      <c r="T199" s="90">
        <v>1</v>
      </c>
      <c r="U199" s="90">
        <v>1</v>
      </c>
      <c r="V199" s="91">
        <f t="shared" ref="V199:V204" si="360">IFERROR(I199/J199,0)</f>
        <v>0.41176470588235292</v>
      </c>
      <c r="W199" s="91">
        <f t="shared" ref="W199:W204" si="361">IFERROR(O199/(2*(J199+0.44*L199)), 0)</f>
        <v>0.58635394456289969</v>
      </c>
      <c r="X199" s="91">
        <f t="shared" ref="X199:X204" si="362">IFERROR(K199/L199,0)</f>
        <v>1</v>
      </c>
      <c r="Y199" s="91">
        <f t="shared" ref="Y199:Y204" si="363">IFERROR(E199/F199,0)</f>
        <v>0.375</v>
      </c>
      <c r="Z199" s="91">
        <f t="shared" ref="Z199:Z204" si="364">IFERROR(G199/H199,0)</f>
        <v>0.44444444444444442</v>
      </c>
      <c r="AA199" s="92">
        <f t="shared" ref="AA199:AA203" si="365">(O199)+(0.4*I199)-(0.7*J199)-(0.4*(L199-K199))+(0.7*M199)+(0.3*N199)+S199+(0.7*Q199)+(0.7*R199)-(0.4*U199)-T199</f>
        <v>21.800000000000004</v>
      </c>
      <c r="AB199" s="46" t="str">
        <f>AB198</f>
        <v>FINAL</v>
      </c>
    </row>
    <row r="200" spans="1:28" ht="39.950000000000003" customHeight="1" x14ac:dyDescent="0.5">
      <c r="A200" s="44" t="str">
        <f t="shared" ref="A200:C201" si="366">A199</f>
        <v>Killer Barbies</v>
      </c>
      <c r="B200" s="44">
        <f t="shared" si="366"/>
        <v>2</v>
      </c>
      <c r="C200" s="44">
        <f t="shared" si="366"/>
        <v>14</v>
      </c>
      <c r="D200" s="86" t="s">
        <v>29</v>
      </c>
      <c r="E200" s="93">
        <v>0</v>
      </c>
      <c r="F200" s="93">
        <v>0</v>
      </c>
      <c r="G200" s="93">
        <v>0</v>
      </c>
      <c r="H200" s="93">
        <v>1</v>
      </c>
      <c r="I200" s="93">
        <f t="shared" si="357"/>
        <v>0</v>
      </c>
      <c r="J200" s="93">
        <f t="shared" si="357"/>
        <v>1</v>
      </c>
      <c r="K200" s="93">
        <v>0</v>
      </c>
      <c r="L200" s="93">
        <v>0</v>
      </c>
      <c r="M200" s="93">
        <v>1</v>
      </c>
      <c r="N200" s="93">
        <v>1</v>
      </c>
      <c r="O200" s="93">
        <f t="shared" si="358"/>
        <v>0</v>
      </c>
      <c r="P200" s="93">
        <f t="shared" si="359"/>
        <v>2</v>
      </c>
      <c r="Q200" s="93">
        <v>1</v>
      </c>
      <c r="R200" s="93">
        <v>0</v>
      </c>
      <c r="S200" s="93">
        <v>0</v>
      </c>
      <c r="T200" s="93">
        <v>0</v>
      </c>
      <c r="U200" s="93">
        <v>0</v>
      </c>
      <c r="V200" s="94">
        <f t="shared" si="360"/>
        <v>0</v>
      </c>
      <c r="W200" s="94">
        <f t="shared" si="361"/>
        <v>0</v>
      </c>
      <c r="X200" s="94">
        <f t="shared" si="362"/>
        <v>0</v>
      </c>
      <c r="Y200" s="94">
        <f t="shared" si="363"/>
        <v>0</v>
      </c>
      <c r="Z200" s="94">
        <f t="shared" si="364"/>
        <v>0</v>
      </c>
      <c r="AA200" s="95">
        <f t="shared" si="365"/>
        <v>1</v>
      </c>
      <c r="AB200" s="46" t="str">
        <f t="shared" ref="AB200:AB201" si="367">AB199</f>
        <v>FINAL</v>
      </c>
    </row>
    <row r="201" spans="1:28" ht="39.950000000000003" customHeight="1" x14ac:dyDescent="0.5">
      <c r="A201" s="44" t="str">
        <f t="shared" si="366"/>
        <v>Killer Barbies</v>
      </c>
      <c r="B201" s="44">
        <f t="shared" si="366"/>
        <v>2</v>
      </c>
      <c r="C201" s="44">
        <f t="shared" si="366"/>
        <v>14</v>
      </c>
      <c r="D201" s="86" t="s">
        <v>45</v>
      </c>
      <c r="E201" s="99">
        <v>6</v>
      </c>
      <c r="F201" s="99">
        <v>12</v>
      </c>
      <c r="G201" s="99">
        <v>2</v>
      </c>
      <c r="H201" s="99">
        <v>3</v>
      </c>
      <c r="I201" s="99">
        <f t="shared" si="357"/>
        <v>8</v>
      </c>
      <c r="J201" s="99">
        <f t="shared" si="357"/>
        <v>15</v>
      </c>
      <c r="K201" s="99">
        <v>5</v>
      </c>
      <c r="L201" s="99">
        <v>8</v>
      </c>
      <c r="M201" s="99">
        <v>3</v>
      </c>
      <c r="N201" s="99">
        <v>5</v>
      </c>
      <c r="O201" s="99">
        <f t="shared" si="358"/>
        <v>23</v>
      </c>
      <c r="P201" s="99">
        <f t="shared" si="359"/>
        <v>8</v>
      </c>
      <c r="Q201" s="99">
        <v>2</v>
      </c>
      <c r="R201" s="99">
        <v>0</v>
      </c>
      <c r="S201" s="99">
        <v>0</v>
      </c>
      <c r="T201" s="99">
        <v>1</v>
      </c>
      <c r="U201" s="99">
        <v>0</v>
      </c>
      <c r="V201" s="100">
        <f t="shared" si="360"/>
        <v>0.53333333333333333</v>
      </c>
      <c r="W201" s="100">
        <f t="shared" si="361"/>
        <v>0.62095032397408212</v>
      </c>
      <c r="X201" s="100">
        <f t="shared" si="362"/>
        <v>0.625</v>
      </c>
      <c r="Y201" s="100">
        <f t="shared" si="363"/>
        <v>0.5</v>
      </c>
      <c r="Z201" s="100">
        <f t="shared" si="364"/>
        <v>0.66666666666666663</v>
      </c>
      <c r="AA201" s="101">
        <f t="shared" si="365"/>
        <v>18.5</v>
      </c>
      <c r="AB201" s="46" t="str">
        <f t="shared" si="367"/>
        <v>FINAL</v>
      </c>
    </row>
    <row r="202" spans="1:28" ht="39.950000000000003" customHeight="1" x14ac:dyDescent="0.5">
      <c r="A202" s="44" t="str">
        <f t="shared" ref="A202:C202" si="368">A200</f>
        <v>Killer Barbies</v>
      </c>
      <c r="B202" s="44">
        <f t="shared" si="368"/>
        <v>2</v>
      </c>
      <c r="C202" s="44">
        <f t="shared" si="368"/>
        <v>14</v>
      </c>
      <c r="D202" s="86" t="s">
        <v>51</v>
      </c>
      <c r="E202" s="102">
        <v>8</v>
      </c>
      <c r="F202" s="102">
        <v>18</v>
      </c>
      <c r="G202" s="102">
        <v>2</v>
      </c>
      <c r="H202" s="102">
        <v>3</v>
      </c>
      <c r="I202" s="102">
        <f t="shared" si="357"/>
        <v>10</v>
      </c>
      <c r="J202" s="102">
        <f t="shared" si="357"/>
        <v>21</v>
      </c>
      <c r="K202" s="102">
        <v>0</v>
      </c>
      <c r="L202" s="102">
        <v>0</v>
      </c>
      <c r="M202" s="102">
        <v>9</v>
      </c>
      <c r="N202" s="102">
        <v>10</v>
      </c>
      <c r="O202" s="102">
        <f t="shared" si="358"/>
        <v>22</v>
      </c>
      <c r="P202" s="102">
        <f t="shared" si="359"/>
        <v>19</v>
      </c>
      <c r="Q202" s="102">
        <v>5</v>
      </c>
      <c r="R202" s="102">
        <v>0</v>
      </c>
      <c r="S202" s="102">
        <v>2</v>
      </c>
      <c r="T202" s="102">
        <v>3</v>
      </c>
      <c r="U202" s="102">
        <v>2</v>
      </c>
      <c r="V202" s="103">
        <f t="shared" si="360"/>
        <v>0.47619047619047616</v>
      </c>
      <c r="W202" s="103">
        <f t="shared" si="361"/>
        <v>0.52380952380952384</v>
      </c>
      <c r="X202" s="103">
        <f t="shared" si="362"/>
        <v>0</v>
      </c>
      <c r="Y202" s="103">
        <f t="shared" si="363"/>
        <v>0.44444444444444442</v>
      </c>
      <c r="Z202" s="103">
        <f t="shared" si="364"/>
        <v>0.66666666666666663</v>
      </c>
      <c r="AA202" s="104">
        <f t="shared" si="365"/>
        <v>22.3</v>
      </c>
      <c r="AB202" s="46" t="str">
        <f>AB201</f>
        <v>FINAL</v>
      </c>
    </row>
    <row r="203" spans="1:28" ht="39.950000000000003" customHeight="1" x14ac:dyDescent="0.5">
      <c r="A203" s="44" t="str">
        <f>A202</f>
        <v>Killer Barbies</v>
      </c>
      <c r="B203" s="44">
        <f t="shared" ref="B203:C203" si="369">B202</f>
        <v>2</v>
      </c>
      <c r="C203" s="44">
        <f t="shared" si="369"/>
        <v>14</v>
      </c>
      <c r="D203" s="86" t="s">
        <v>41</v>
      </c>
      <c r="E203" s="163">
        <v>0</v>
      </c>
      <c r="F203" s="163">
        <v>0</v>
      </c>
      <c r="G203" s="163">
        <v>0</v>
      </c>
      <c r="H203" s="163">
        <v>6</v>
      </c>
      <c r="I203" s="163">
        <f t="shared" si="357"/>
        <v>0</v>
      </c>
      <c r="J203" s="163">
        <f t="shared" si="357"/>
        <v>6</v>
      </c>
      <c r="K203" s="163">
        <v>0</v>
      </c>
      <c r="L203" s="163">
        <v>0</v>
      </c>
      <c r="M203" s="163">
        <v>2</v>
      </c>
      <c r="N203" s="163">
        <v>1</v>
      </c>
      <c r="O203" s="163">
        <f t="shared" si="358"/>
        <v>0</v>
      </c>
      <c r="P203" s="163">
        <f t="shared" si="359"/>
        <v>3</v>
      </c>
      <c r="Q203" s="163">
        <v>1</v>
      </c>
      <c r="R203" s="163">
        <v>0</v>
      </c>
      <c r="S203" s="163">
        <v>0</v>
      </c>
      <c r="T203" s="163">
        <v>0</v>
      </c>
      <c r="U203" s="163">
        <v>0</v>
      </c>
      <c r="V203" s="164">
        <f t="shared" si="360"/>
        <v>0</v>
      </c>
      <c r="W203" s="164">
        <f t="shared" si="361"/>
        <v>0</v>
      </c>
      <c r="X203" s="164">
        <f t="shared" si="362"/>
        <v>0</v>
      </c>
      <c r="Y203" s="164">
        <f t="shared" si="363"/>
        <v>0</v>
      </c>
      <c r="Z203" s="164">
        <f t="shared" si="364"/>
        <v>0</v>
      </c>
      <c r="AA203" s="165">
        <f t="shared" si="365"/>
        <v>-1.7999999999999996</v>
      </c>
      <c r="AB203" s="46" t="str">
        <f>AB202</f>
        <v>FINAL</v>
      </c>
    </row>
    <row r="204" spans="1:28" ht="39.950000000000003" customHeight="1" x14ac:dyDescent="0.5">
      <c r="A204" s="44" t="str">
        <f>A201</f>
        <v>Killer Barbies</v>
      </c>
      <c r="B204" s="44">
        <f>B201</f>
        <v>2</v>
      </c>
      <c r="C204" s="44">
        <f>C201</f>
        <v>14</v>
      </c>
      <c r="D204" s="86" t="s">
        <v>32</v>
      </c>
      <c r="E204" s="105">
        <f>SUM(E198:E203)</f>
        <v>23</v>
      </c>
      <c r="F204" s="105">
        <f t="shared" ref="F204:U204" si="370">SUM(F198:F203)</f>
        <v>53</v>
      </c>
      <c r="G204" s="105">
        <f t="shared" si="370"/>
        <v>8</v>
      </c>
      <c r="H204" s="105">
        <f t="shared" si="370"/>
        <v>25</v>
      </c>
      <c r="I204" s="105">
        <f t="shared" si="370"/>
        <v>31</v>
      </c>
      <c r="J204" s="105">
        <f t="shared" si="370"/>
        <v>78</v>
      </c>
      <c r="K204" s="105">
        <f t="shared" si="370"/>
        <v>12</v>
      </c>
      <c r="L204" s="105">
        <f t="shared" si="370"/>
        <v>20</v>
      </c>
      <c r="M204" s="105">
        <f t="shared" si="370"/>
        <v>21</v>
      </c>
      <c r="N204" s="105">
        <f t="shared" si="370"/>
        <v>32</v>
      </c>
      <c r="O204" s="105">
        <f t="shared" si="370"/>
        <v>82</v>
      </c>
      <c r="P204" s="105">
        <f t="shared" si="370"/>
        <v>53</v>
      </c>
      <c r="Q204" s="105">
        <f t="shared" si="370"/>
        <v>15</v>
      </c>
      <c r="R204" s="105">
        <f t="shared" si="370"/>
        <v>0</v>
      </c>
      <c r="S204" s="105">
        <f t="shared" si="370"/>
        <v>7</v>
      </c>
      <c r="T204" s="105">
        <f t="shared" si="370"/>
        <v>7</v>
      </c>
      <c r="U204" s="105">
        <f t="shared" si="370"/>
        <v>4</v>
      </c>
      <c r="V204" s="106">
        <f t="shared" si="360"/>
        <v>0.39743589743589741</v>
      </c>
      <c r="W204" s="106">
        <f t="shared" si="361"/>
        <v>0.47235023041474655</v>
      </c>
      <c r="X204" s="106">
        <f t="shared" si="362"/>
        <v>0.6</v>
      </c>
      <c r="Y204" s="106">
        <f t="shared" si="363"/>
        <v>0.43396226415094341</v>
      </c>
      <c r="Z204" s="106">
        <f t="shared" si="364"/>
        <v>0.32</v>
      </c>
      <c r="AA204" s="107">
        <f>AVERAGE(AA198:AA203)</f>
        <v>11.633333333333335</v>
      </c>
      <c r="AB204" s="46" t="str">
        <f>AB202</f>
        <v>FINAL</v>
      </c>
    </row>
    <row r="205" spans="1:28" ht="39.950000000000003" customHeight="1" x14ac:dyDescent="0.55000000000000004">
      <c r="A205" s="44" t="s">
        <v>33</v>
      </c>
      <c r="B205" s="44">
        <f t="shared" ref="B205:C205" si="371">B204</f>
        <v>2</v>
      </c>
      <c r="C205" s="44">
        <f t="shared" si="371"/>
        <v>14</v>
      </c>
      <c r="D205" s="82" t="s">
        <v>56</v>
      </c>
      <c r="E205" s="83"/>
      <c r="F205" s="83"/>
      <c r="G205" s="83"/>
      <c r="H205" s="83"/>
      <c r="I205" s="83"/>
      <c r="J205" s="83"/>
      <c r="K205" s="83"/>
      <c r="L205" s="83"/>
      <c r="M205" s="83"/>
      <c r="N205" s="83"/>
      <c r="O205" s="83">
        <v>60</v>
      </c>
      <c r="P205" s="83"/>
      <c r="Q205" s="83"/>
      <c r="R205" s="83"/>
      <c r="S205" s="83"/>
      <c r="T205" s="83"/>
      <c r="U205" s="83"/>
      <c r="V205" s="83"/>
      <c r="W205" s="83"/>
      <c r="X205" s="83"/>
      <c r="Y205" s="83"/>
      <c r="Z205" s="83"/>
      <c r="AA205" s="83"/>
      <c r="AB205" s="46" t="str">
        <f>AB204</f>
        <v>FINAL</v>
      </c>
    </row>
    <row r="206" spans="1:28" ht="39.950000000000003" customHeight="1" x14ac:dyDescent="0.5">
      <c r="A206" s="44" t="str">
        <f>D213</f>
        <v>PRIME TIME</v>
      </c>
      <c r="B206" s="44">
        <v>2</v>
      </c>
      <c r="C206" s="44">
        <v>15</v>
      </c>
      <c r="D206" s="86" t="s">
        <v>36</v>
      </c>
      <c r="E206" s="87">
        <v>4</v>
      </c>
      <c r="F206" s="87">
        <v>8</v>
      </c>
      <c r="G206" s="87">
        <v>0</v>
      </c>
      <c r="H206" s="87">
        <v>2</v>
      </c>
      <c r="I206" s="87">
        <f>E206+G206</f>
        <v>4</v>
      </c>
      <c r="J206" s="87">
        <f>F206+H206</f>
        <v>10</v>
      </c>
      <c r="K206" s="87">
        <v>2</v>
      </c>
      <c r="L206" s="87">
        <v>6</v>
      </c>
      <c r="M206" s="87">
        <v>1</v>
      </c>
      <c r="N206" s="87">
        <v>3</v>
      </c>
      <c r="O206" s="87">
        <f>E206*2+G206*3+K206</f>
        <v>10</v>
      </c>
      <c r="P206" s="87">
        <f>M206+N206</f>
        <v>4</v>
      </c>
      <c r="Q206" s="87">
        <v>1</v>
      </c>
      <c r="R206" s="87">
        <v>1</v>
      </c>
      <c r="S206" s="87">
        <v>0</v>
      </c>
      <c r="T206" s="87">
        <v>3</v>
      </c>
      <c r="U206" s="87">
        <v>1</v>
      </c>
      <c r="V206" s="88">
        <f>IFERROR(I206/J206,0)</f>
        <v>0.4</v>
      </c>
      <c r="W206" s="88">
        <f>IFERROR(O206/(2*(J206+0.44*L206)), 0)</f>
        <v>0.39556962025316456</v>
      </c>
      <c r="X206" s="88">
        <f>IFERROR(K206/L206,0)</f>
        <v>0.33333333333333331</v>
      </c>
      <c r="Y206" s="88">
        <f>IFERROR(E206/F206,0)</f>
        <v>0.5</v>
      </c>
      <c r="Z206" s="88">
        <f>IFERROR(G206/H206,0)</f>
        <v>0</v>
      </c>
      <c r="AA206" s="89">
        <f>(O206)+(0.4*I206)-(0.7*J206)-(0.4*(L206-K206))+(0.7*M206)+(0.3*N206)+S206+(0.7*Q206)+(0.7*R206)-(0.4*U206)-T206</f>
        <v>2.5999999999999996</v>
      </c>
      <c r="AB206" s="167" t="s">
        <v>53</v>
      </c>
    </row>
    <row r="207" spans="1:28" ht="39.950000000000003" customHeight="1" x14ac:dyDescent="0.5">
      <c r="A207" s="44" t="str">
        <f>A206</f>
        <v>PRIME TIME</v>
      </c>
      <c r="B207" s="44">
        <f>B206</f>
        <v>2</v>
      </c>
      <c r="C207" s="44">
        <f>C206</f>
        <v>15</v>
      </c>
      <c r="D207" s="86" t="s">
        <v>28</v>
      </c>
      <c r="E207" s="90">
        <v>1</v>
      </c>
      <c r="F207" s="90">
        <v>4</v>
      </c>
      <c r="G207" s="90">
        <v>1</v>
      </c>
      <c r="H207" s="90">
        <v>3</v>
      </c>
      <c r="I207" s="90">
        <f t="shared" ref="I207:J211" si="372">E207+G207</f>
        <v>2</v>
      </c>
      <c r="J207" s="90">
        <f t="shared" si="372"/>
        <v>7</v>
      </c>
      <c r="K207" s="90">
        <v>7</v>
      </c>
      <c r="L207" s="90">
        <v>10</v>
      </c>
      <c r="M207" s="90">
        <v>1</v>
      </c>
      <c r="N207" s="90">
        <v>3</v>
      </c>
      <c r="O207" s="90">
        <f t="shared" ref="O207:O211" si="373">E207*2+G207*3+K207</f>
        <v>12</v>
      </c>
      <c r="P207" s="90">
        <f t="shared" ref="P207:P211" si="374">M207+N207</f>
        <v>4</v>
      </c>
      <c r="Q207" s="90">
        <v>4</v>
      </c>
      <c r="R207" s="90">
        <v>0</v>
      </c>
      <c r="S207" s="90">
        <v>1</v>
      </c>
      <c r="T207" s="90">
        <v>0</v>
      </c>
      <c r="U207" s="90">
        <v>5</v>
      </c>
      <c r="V207" s="91">
        <f t="shared" ref="V207:V212" si="375">IFERROR(I207/J207,0)</f>
        <v>0.2857142857142857</v>
      </c>
      <c r="W207" s="91">
        <f t="shared" ref="W207:W212" si="376">IFERROR(O207/(2*(J207+0.44*L207)), 0)</f>
        <v>0.52631578947368418</v>
      </c>
      <c r="X207" s="91">
        <f t="shared" ref="X207:X212" si="377">IFERROR(K207/L207,0)</f>
        <v>0.7</v>
      </c>
      <c r="Y207" s="91">
        <f t="shared" ref="Y207:Y212" si="378">IFERROR(E207/F207,0)</f>
        <v>0.25</v>
      </c>
      <c r="Z207" s="91">
        <f t="shared" ref="Z207:Z212" si="379">IFERROR(G207/H207,0)</f>
        <v>0.33333333333333331</v>
      </c>
      <c r="AA207" s="92">
        <f t="shared" ref="AA207:AA211" si="380">(O207)+(0.4*I207)-(0.7*J207)-(0.4*(L207-K207))+(0.7*M207)+(0.3*N207)+S207+(0.7*Q207)+(0.7*R207)-(0.4*U207)-T207</f>
        <v>10.100000000000001</v>
      </c>
      <c r="AB207" s="46" t="str">
        <f>AB206</f>
        <v>FINAL</v>
      </c>
    </row>
    <row r="208" spans="1:28" ht="39.950000000000003" customHeight="1" x14ac:dyDescent="0.5">
      <c r="A208" s="44" t="str">
        <f t="shared" ref="A208:C209" si="381">A207</f>
        <v>PRIME TIME</v>
      </c>
      <c r="B208" s="44">
        <f t="shared" si="381"/>
        <v>2</v>
      </c>
      <c r="C208" s="44">
        <f t="shared" si="381"/>
        <v>15</v>
      </c>
      <c r="D208" s="86" t="s">
        <v>29</v>
      </c>
      <c r="E208" s="93">
        <v>0</v>
      </c>
      <c r="F208" s="93">
        <v>0</v>
      </c>
      <c r="G208" s="93">
        <v>0</v>
      </c>
      <c r="H208" s="93">
        <v>2</v>
      </c>
      <c r="I208" s="93">
        <f t="shared" si="372"/>
        <v>0</v>
      </c>
      <c r="J208" s="93">
        <f t="shared" si="372"/>
        <v>2</v>
      </c>
      <c r="K208" s="93">
        <v>0</v>
      </c>
      <c r="L208" s="93">
        <v>0</v>
      </c>
      <c r="M208" s="93">
        <v>1</v>
      </c>
      <c r="N208" s="93">
        <v>0</v>
      </c>
      <c r="O208" s="93">
        <f t="shared" si="373"/>
        <v>0</v>
      </c>
      <c r="P208" s="93">
        <f t="shared" si="374"/>
        <v>1</v>
      </c>
      <c r="Q208" s="93">
        <v>1</v>
      </c>
      <c r="R208" s="93">
        <v>0</v>
      </c>
      <c r="S208" s="93">
        <v>0</v>
      </c>
      <c r="T208" s="93">
        <v>2</v>
      </c>
      <c r="U208" s="93">
        <v>3</v>
      </c>
      <c r="V208" s="94">
        <f t="shared" si="375"/>
        <v>0</v>
      </c>
      <c r="W208" s="94">
        <f t="shared" si="376"/>
        <v>0</v>
      </c>
      <c r="X208" s="94">
        <f t="shared" si="377"/>
        <v>0</v>
      </c>
      <c r="Y208" s="94">
        <f t="shared" si="378"/>
        <v>0</v>
      </c>
      <c r="Z208" s="94">
        <f t="shared" si="379"/>
        <v>0</v>
      </c>
      <c r="AA208" s="95">
        <f t="shared" si="380"/>
        <v>-3.2</v>
      </c>
      <c r="AB208" s="46" t="str">
        <f t="shared" ref="AB208:AB209" si="382">AB207</f>
        <v>FINAL</v>
      </c>
    </row>
    <row r="209" spans="1:28" ht="39.950000000000003" customHeight="1" x14ac:dyDescent="0.5">
      <c r="A209" s="44" t="str">
        <f t="shared" si="381"/>
        <v>PRIME TIME</v>
      </c>
      <c r="B209" s="44">
        <f t="shared" si="381"/>
        <v>2</v>
      </c>
      <c r="C209" s="44">
        <f t="shared" si="381"/>
        <v>15</v>
      </c>
      <c r="D209" s="86" t="s">
        <v>45</v>
      </c>
      <c r="E209" s="99">
        <v>4</v>
      </c>
      <c r="F209" s="99">
        <v>8</v>
      </c>
      <c r="G209" s="99">
        <v>1</v>
      </c>
      <c r="H209" s="99">
        <v>3</v>
      </c>
      <c r="I209" s="99">
        <f t="shared" si="372"/>
        <v>5</v>
      </c>
      <c r="J209" s="99">
        <f t="shared" si="372"/>
        <v>11</v>
      </c>
      <c r="K209" s="99">
        <v>3</v>
      </c>
      <c r="L209" s="99">
        <v>6</v>
      </c>
      <c r="M209" s="99">
        <v>3</v>
      </c>
      <c r="N209" s="99">
        <v>3</v>
      </c>
      <c r="O209" s="99">
        <f t="shared" si="373"/>
        <v>14</v>
      </c>
      <c r="P209" s="99">
        <f t="shared" si="374"/>
        <v>6</v>
      </c>
      <c r="Q209" s="99">
        <v>2</v>
      </c>
      <c r="R209" s="99">
        <v>0</v>
      </c>
      <c r="S209" s="99">
        <v>2</v>
      </c>
      <c r="T209" s="99">
        <v>3</v>
      </c>
      <c r="U209" s="99">
        <v>5</v>
      </c>
      <c r="V209" s="100">
        <f t="shared" si="375"/>
        <v>0.45454545454545453</v>
      </c>
      <c r="W209" s="100">
        <f t="shared" si="376"/>
        <v>0.51319648093841641</v>
      </c>
      <c r="X209" s="100">
        <f t="shared" si="377"/>
        <v>0.5</v>
      </c>
      <c r="Y209" s="100">
        <f t="shared" si="378"/>
        <v>0.5</v>
      </c>
      <c r="Z209" s="100">
        <f t="shared" si="379"/>
        <v>0.33333333333333331</v>
      </c>
      <c r="AA209" s="101">
        <f t="shared" si="380"/>
        <v>8.5</v>
      </c>
      <c r="AB209" s="46" t="str">
        <f t="shared" si="382"/>
        <v>FINAL</v>
      </c>
    </row>
    <row r="210" spans="1:28" ht="39.950000000000003" customHeight="1" x14ac:dyDescent="0.5">
      <c r="A210" s="44" t="str">
        <f t="shared" ref="A210:C210" si="383">A208</f>
        <v>PRIME TIME</v>
      </c>
      <c r="B210" s="44">
        <f t="shared" si="383"/>
        <v>2</v>
      </c>
      <c r="C210" s="44">
        <f t="shared" si="383"/>
        <v>15</v>
      </c>
      <c r="D210" s="86" t="s">
        <v>51</v>
      </c>
      <c r="E210" s="102">
        <v>4</v>
      </c>
      <c r="F210" s="102">
        <v>13</v>
      </c>
      <c r="G210" s="102">
        <v>0</v>
      </c>
      <c r="H210" s="102">
        <v>1</v>
      </c>
      <c r="I210" s="102">
        <f t="shared" si="372"/>
        <v>4</v>
      </c>
      <c r="J210" s="102">
        <f t="shared" si="372"/>
        <v>14</v>
      </c>
      <c r="K210" s="102">
        <v>2</v>
      </c>
      <c r="L210" s="102">
        <v>9</v>
      </c>
      <c r="M210" s="102">
        <v>6</v>
      </c>
      <c r="N210" s="102">
        <v>3</v>
      </c>
      <c r="O210" s="102">
        <f t="shared" si="373"/>
        <v>10</v>
      </c>
      <c r="P210" s="102">
        <f t="shared" si="374"/>
        <v>9</v>
      </c>
      <c r="Q210" s="102">
        <v>1</v>
      </c>
      <c r="R210" s="102">
        <v>0</v>
      </c>
      <c r="S210" s="102">
        <v>1</v>
      </c>
      <c r="T210" s="102">
        <v>2</v>
      </c>
      <c r="U210" s="102">
        <v>1</v>
      </c>
      <c r="V210" s="103">
        <f t="shared" si="375"/>
        <v>0.2857142857142857</v>
      </c>
      <c r="W210" s="103">
        <f t="shared" si="376"/>
        <v>0.27839643652561247</v>
      </c>
      <c r="X210" s="103">
        <f t="shared" si="377"/>
        <v>0.22222222222222221</v>
      </c>
      <c r="Y210" s="103">
        <f t="shared" si="378"/>
        <v>0.30769230769230771</v>
      </c>
      <c r="Z210" s="103">
        <f t="shared" si="379"/>
        <v>0</v>
      </c>
      <c r="AA210" s="104">
        <f t="shared" si="380"/>
        <v>3.3999999999999995</v>
      </c>
      <c r="AB210" s="46" t="str">
        <f>AB209</f>
        <v>FINAL</v>
      </c>
    </row>
    <row r="211" spans="1:28" ht="39.950000000000003" customHeight="1" x14ac:dyDescent="0.5">
      <c r="A211" s="44" t="str">
        <f>A210</f>
        <v>PRIME TIME</v>
      </c>
      <c r="B211" s="44">
        <f t="shared" ref="B211:C211" si="384">B210</f>
        <v>2</v>
      </c>
      <c r="C211" s="44">
        <f t="shared" si="384"/>
        <v>15</v>
      </c>
      <c r="D211" s="86" t="s">
        <v>41</v>
      </c>
      <c r="E211" s="163">
        <v>0</v>
      </c>
      <c r="F211" s="163">
        <v>0</v>
      </c>
      <c r="G211" s="163">
        <v>0</v>
      </c>
      <c r="H211" s="163">
        <v>2</v>
      </c>
      <c r="I211" s="163">
        <f t="shared" si="372"/>
        <v>0</v>
      </c>
      <c r="J211" s="163">
        <f t="shared" si="372"/>
        <v>2</v>
      </c>
      <c r="K211" s="163">
        <v>0</v>
      </c>
      <c r="L211" s="163">
        <v>0</v>
      </c>
      <c r="M211" s="163">
        <v>1</v>
      </c>
      <c r="N211" s="163">
        <v>1</v>
      </c>
      <c r="O211" s="163">
        <f t="shared" si="373"/>
        <v>0</v>
      </c>
      <c r="P211" s="163">
        <f t="shared" si="374"/>
        <v>2</v>
      </c>
      <c r="Q211" s="163">
        <v>1</v>
      </c>
      <c r="R211" s="163">
        <v>0</v>
      </c>
      <c r="S211" s="163">
        <v>1</v>
      </c>
      <c r="T211" s="163">
        <v>0</v>
      </c>
      <c r="U211" s="163">
        <v>4</v>
      </c>
      <c r="V211" s="164">
        <f t="shared" si="375"/>
        <v>0</v>
      </c>
      <c r="W211" s="164">
        <f t="shared" si="376"/>
        <v>0</v>
      </c>
      <c r="X211" s="164">
        <f t="shared" si="377"/>
        <v>0</v>
      </c>
      <c r="Y211" s="164">
        <f t="shared" si="378"/>
        <v>0</v>
      </c>
      <c r="Z211" s="164">
        <f t="shared" si="379"/>
        <v>0</v>
      </c>
      <c r="AA211" s="165">
        <f t="shared" si="380"/>
        <v>-0.30000000000000004</v>
      </c>
      <c r="AB211" s="46" t="str">
        <f>AB210</f>
        <v>FINAL</v>
      </c>
    </row>
    <row r="212" spans="1:28" ht="39.950000000000003" customHeight="1" x14ac:dyDescent="0.5">
      <c r="A212" s="44" t="str">
        <f>A209</f>
        <v>PRIME TIME</v>
      </c>
      <c r="B212" s="44">
        <f>B209</f>
        <v>2</v>
      </c>
      <c r="C212" s="44">
        <f>C209</f>
        <v>15</v>
      </c>
      <c r="D212" s="86" t="s">
        <v>32</v>
      </c>
      <c r="E212" s="105">
        <f>SUM(E206:E211)</f>
        <v>13</v>
      </c>
      <c r="F212" s="105">
        <f t="shared" ref="F212:U212" si="385">SUM(F206:F211)</f>
        <v>33</v>
      </c>
      <c r="G212" s="105">
        <f t="shared" si="385"/>
        <v>2</v>
      </c>
      <c r="H212" s="105">
        <f t="shared" si="385"/>
        <v>13</v>
      </c>
      <c r="I212" s="105">
        <f t="shared" si="385"/>
        <v>15</v>
      </c>
      <c r="J212" s="105">
        <f t="shared" si="385"/>
        <v>46</v>
      </c>
      <c r="K212" s="105">
        <f t="shared" si="385"/>
        <v>14</v>
      </c>
      <c r="L212" s="105">
        <f t="shared" si="385"/>
        <v>31</v>
      </c>
      <c r="M212" s="105">
        <f t="shared" si="385"/>
        <v>13</v>
      </c>
      <c r="N212" s="105">
        <f t="shared" si="385"/>
        <v>13</v>
      </c>
      <c r="O212" s="105">
        <f t="shared" si="385"/>
        <v>46</v>
      </c>
      <c r="P212" s="105">
        <f t="shared" si="385"/>
        <v>26</v>
      </c>
      <c r="Q212" s="105">
        <f t="shared" si="385"/>
        <v>10</v>
      </c>
      <c r="R212" s="105">
        <f t="shared" si="385"/>
        <v>1</v>
      </c>
      <c r="S212" s="105">
        <f t="shared" si="385"/>
        <v>5</v>
      </c>
      <c r="T212" s="105">
        <f t="shared" si="385"/>
        <v>10</v>
      </c>
      <c r="U212" s="105">
        <f t="shared" si="385"/>
        <v>19</v>
      </c>
      <c r="V212" s="106">
        <f t="shared" si="375"/>
        <v>0.32608695652173914</v>
      </c>
      <c r="W212" s="106">
        <f t="shared" si="376"/>
        <v>0.38564721663313212</v>
      </c>
      <c r="X212" s="106">
        <f t="shared" si="377"/>
        <v>0.45161290322580644</v>
      </c>
      <c r="Y212" s="106">
        <f t="shared" si="378"/>
        <v>0.39393939393939392</v>
      </c>
      <c r="Z212" s="106">
        <f t="shared" si="379"/>
        <v>0.15384615384615385</v>
      </c>
      <c r="AA212" s="107">
        <f>AVERAGE(AA206:AA211)</f>
        <v>3.5166666666666662</v>
      </c>
      <c r="AB212" s="46" t="str">
        <f>AB210</f>
        <v>FINAL</v>
      </c>
    </row>
    <row r="213" spans="1:28" ht="39.950000000000003" customHeight="1" x14ac:dyDescent="0.55000000000000004">
      <c r="A213" s="44" t="s">
        <v>33</v>
      </c>
      <c r="B213" s="44">
        <f t="shared" ref="B213:C213" si="386">B212</f>
        <v>2</v>
      </c>
      <c r="C213" s="44">
        <f t="shared" si="386"/>
        <v>15</v>
      </c>
      <c r="D213" s="158" t="s">
        <v>37</v>
      </c>
      <c r="E213" s="83"/>
      <c r="F213" s="83"/>
      <c r="G213" s="83"/>
      <c r="H213" s="83"/>
      <c r="I213" s="83"/>
      <c r="J213" s="83"/>
      <c r="K213" s="83"/>
      <c r="L213" s="83"/>
      <c r="M213" s="83"/>
      <c r="N213" s="83"/>
      <c r="O213" s="83">
        <v>48</v>
      </c>
      <c r="P213" s="83"/>
      <c r="Q213" s="83"/>
      <c r="R213" s="83"/>
      <c r="S213" s="83"/>
      <c r="T213" s="83"/>
      <c r="U213" s="83"/>
      <c r="V213" s="83"/>
      <c r="W213" s="83"/>
      <c r="X213" s="83"/>
      <c r="Y213" s="83"/>
      <c r="Z213" s="83"/>
      <c r="AA213" s="83"/>
      <c r="AB213" s="46" t="str">
        <f>AB212</f>
        <v>FINAL</v>
      </c>
    </row>
    <row r="214" spans="1:28" ht="39.950000000000003" customHeight="1" x14ac:dyDescent="0.5">
      <c r="A214" s="44" t="str">
        <f>D220</f>
        <v>Smoove Movers</v>
      </c>
      <c r="B214" s="44">
        <v>3</v>
      </c>
      <c r="C214" s="44">
        <v>-1</v>
      </c>
      <c r="D214" s="86" t="s">
        <v>28</v>
      </c>
      <c r="E214" s="90">
        <v>6</v>
      </c>
      <c r="F214" s="90">
        <v>13</v>
      </c>
      <c r="G214" s="90">
        <v>0</v>
      </c>
      <c r="H214" s="90">
        <v>3</v>
      </c>
      <c r="I214" s="90">
        <f t="shared" ref="I214:J218" si="387">E214+G214</f>
        <v>6</v>
      </c>
      <c r="J214" s="90">
        <f t="shared" si="387"/>
        <v>16</v>
      </c>
      <c r="K214" s="90">
        <v>0</v>
      </c>
      <c r="L214" s="90">
        <v>0</v>
      </c>
      <c r="M214" s="90">
        <v>0</v>
      </c>
      <c r="N214" s="90">
        <v>3</v>
      </c>
      <c r="O214" s="90">
        <f t="shared" ref="O214:O218" si="388">E214*2+G214*3+K214</f>
        <v>12</v>
      </c>
      <c r="P214" s="90">
        <f t="shared" ref="P214:P218" si="389">M214+N214</f>
        <v>3</v>
      </c>
      <c r="Q214" s="90">
        <v>2</v>
      </c>
      <c r="R214" s="90">
        <v>0</v>
      </c>
      <c r="S214" s="90">
        <v>1</v>
      </c>
      <c r="T214" s="90">
        <v>2</v>
      </c>
      <c r="U214" s="90">
        <v>3</v>
      </c>
      <c r="V214" s="91">
        <f t="shared" ref="V214:V218" si="390">IFERROR(I214/J214,0)</f>
        <v>0.375</v>
      </c>
      <c r="W214" s="91">
        <f t="shared" ref="W214:W218" si="391">IFERROR(O214/(2*(J214+0.44*L214)), 0)</f>
        <v>0.375</v>
      </c>
      <c r="X214" s="91">
        <f t="shared" ref="X214:X218" si="392">IFERROR(K214/L214,0)</f>
        <v>0</v>
      </c>
      <c r="Y214" s="91">
        <f t="shared" ref="Y214:Y219" si="393">IFERROR(E214/F214,0)</f>
        <v>0.46153846153846156</v>
      </c>
      <c r="Z214" s="91">
        <f t="shared" ref="Z214:Z218" si="394">IFERROR(G214/H214,0)</f>
        <v>0</v>
      </c>
      <c r="AA214" s="92">
        <f>(O214)+(0.4*I214)-(0.7*J214)-(0.4*(L214-K214))+(0.7*M214)+(0.3*N214)+S214+(0.7*Q214)+(0.7*R214)-(0.4*U214)-T214</f>
        <v>3.3000000000000016</v>
      </c>
      <c r="AB214" s="167" t="s">
        <v>31</v>
      </c>
    </row>
    <row r="215" spans="1:28" ht="39.950000000000003" customHeight="1" x14ac:dyDescent="0.5">
      <c r="A215" s="44" t="str">
        <f t="shared" ref="A215:C216" si="395">A214</f>
        <v>Smoove Movers</v>
      </c>
      <c r="B215" s="44">
        <f t="shared" si="395"/>
        <v>3</v>
      </c>
      <c r="C215" s="44">
        <f t="shared" si="395"/>
        <v>-1</v>
      </c>
      <c r="D215" s="86" t="s">
        <v>68</v>
      </c>
      <c r="E215" s="93">
        <v>0</v>
      </c>
      <c r="F215" s="93">
        <v>3</v>
      </c>
      <c r="G215" s="93">
        <v>1</v>
      </c>
      <c r="H215" s="93">
        <v>2</v>
      </c>
      <c r="I215" s="93">
        <f t="shared" si="387"/>
        <v>1</v>
      </c>
      <c r="J215" s="93">
        <f t="shared" si="387"/>
        <v>5</v>
      </c>
      <c r="K215" s="93">
        <v>1</v>
      </c>
      <c r="L215" s="93">
        <v>2</v>
      </c>
      <c r="M215" s="93">
        <v>4</v>
      </c>
      <c r="N215" s="93">
        <v>2</v>
      </c>
      <c r="O215" s="93">
        <f t="shared" si="388"/>
        <v>4</v>
      </c>
      <c r="P215" s="93">
        <f t="shared" si="389"/>
        <v>6</v>
      </c>
      <c r="Q215" s="93">
        <v>7</v>
      </c>
      <c r="R215" s="93">
        <v>1</v>
      </c>
      <c r="S215" s="93">
        <v>1</v>
      </c>
      <c r="T215" s="93">
        <v>2</v>
      </c>
      <c r="U215" s="93">
        <v>4</v>
      </c>
      <c r="V215" s="94">
        <f t="shared" si="390"/>
        <v>0.2</v>
      </c>
      <c r="W215" s="94">
        <f t="shared" si="391"/>
        <v>0.3401360544217687</v>
      </c>
      <c r="X215" s="94">
        <f t="shared" si="392"/>
        <v>0.5</v>
      </c>
      <c r="Y215" s="94">
        <f t="shared" si="393"/>
        <v>0</v>
      </c>
      <c r="Z215" s="94">
        <f t="shared" si="394"/>
        <v>0.5</v>
      </c>
      <c r="AA215" s="95">
        <f t="shared" ref="AA215:AA218" si="396">(O215)+(0.4*I215)-(0.7*J215)-(0.4*(L215-K215))+(0.7*M215)+(0.3*N215)+S215+(0.7*Q215)+(0.7*R215)-(0.4*U215)-T215</f>
        <v>6.9</v>
      </c>
      <c r="AB215" s="46" t="str">
        <f t="shared" ref="AB215:AB216" si="397">AB214</f>
        <v>PRE</v>
      </c>
    </row>
    <row r="216" spans="1:28" ht="39.950000000000003" customHeight="1" x14ac:dyDescent="0.5">
      <c r="A216" s="44" t="str">
        <f t="shared" si="395"/>
        <v>Smoove Movers</v>
      </c>
      <c r="B216" s="44">
        <f t="shared" si="395"/>
        <v>3</v>
      </c>
      <c r="C216" s="44">
        <f t="shared" si="395"/>
        <v>-1</v>
      </c>
      <c r="D216" s="86" t="s">
        <v>45</v>
      </c>
      <c r="E216" s="99">
        <v>9</v>
      </c>
      <c r="F216" s="99">
        <v>17</v>
      </c>
      <c r="G216" s="99">
        <v>0</v>
      </c>
      <c r="H216" s="99">
        <v>3</v>
      </c>
      <c r="I216" s="99">
        <f t="shared" si="387"/>
        <v>9</v>
      </c>
      <c r="J216" s="99">
        <f t="shared" si="387"/>
        <v>20</v>
      </c>
      <c r="K216" s="99">
        <v>5</v>
      </c>
      <c r="L216" s="99">
        <v>7</v>
      </c>
      <c r="M216" s="99">
        <v>7</v>
      </c>
      <c r="N216" s="99">
        <v>6</v>
      </c>
      <c r="O216" s="99">
        <f t="shared" si="388"/>
        <v>23</v>
      </c>
      <c r="P216" s="99">
        <f t="shared" si="389"/>
        <v>13</v>
      </c>
      <c r="Q216" s="99">
        <v>2</v>
      </c>
      <c r="R216" s="99">
        <v>0</v>
      </c>
      <c r="S216" s="99">
        <v>1</v>
      </c>
      <c r="T216" s="99">
        <v>1</v>
      </c>
      <c r="U216" s="99">
        <v>1</v>
      </c>
      <c r="V216" s="100">
        <f t="shared" si="390"/>
        <v>0.45</v>
      </c>
      <c r="W216" s="100">
        <f t="shared" si="391"/>
        <v>0.49826689774696709</v>
      </c>
      <c r="X216" s="100">
        <f t="shared" si="392"/>
        <v>0.7142857142857143</v>
      </c>
      <c r="Y216" s="100">
        <f t="shared" si="393"/>
        <v>0.52941176470588236</v>
      </c>
      <c r="Z216" s="100">
        <f t="shared" si="394"/>
        <v>0</v>
      </c>
      <c r="AA216" s="101">
        <f t="shared" si="396"/>
        <v>19.5</v>
      </c>
      <c r="AB216" s="46" t="str">
        <f t="shared" si="397"/>
        <v>PRE</v>
      </c>
    </row>
    <row r="217" spans="1:28" ht="39.950000000000003" customHeight="1" x14ac:dyDescent="0.5">
      <c r="A217" s="44" t="str">
        <f t="shared" ref="A217:C217" si="398">A215</f>
        <v>Smoove Movers</v>
      </c>
      <c r="B217" s="44">
        <f t="shared" si="398"/>
        <v>3</v>
      </c>
      <c r="C217" s="44">
        <f t="shared" si="398"/>
        <v>-1</v>
      </c>
      <c r="D217" s="86" t="s">
        <v>69</v>
      </c>
      <c r="E217" s="102">
        <v>7</v>
      </c>
      <c r="F217" s="102">
        <v>10</v>
      </c>
      <c r="G217" s="102">
        <v>0</v>
      </c>
      <c r="H217" s="102">
        <v>0</v>
      </c>
      <c r="I217" s="102">
        <f t="shared" si="387"/>
        <v>7</v>
      </c>
      <c r="J217" s="102">
        <f t="shared" si="387"/>
        <v>10</v>
      </c>
      <c r="K217" s="102">
        <v>1</v>
      </c>
      <c r="L217" s="102">
        <v>4</v>
      </c>
      <c r="M217" s="102">
        <v>3</v>
      </c>
      <c r="N217" s="102">
        <v>9</v>
      </c>
      <c r="O217" s="102">
        <f t="shared" si="388"/>
        <v>15</v>
      </c>
      <c r="P217" s="102">
        <f t="shared" si="389"/>
        <v>12</v>
      </c>
      <c r="Q217" s="102">
        <v>1</v>
      </c>
      <c r="R217" s="102">
        <v>0</v>
      </c>
      <c r="S217" s="102">
        <v>1</v>
      </c>
      <c r="T217" s="102">
        <v>3</v>
      </c>
      <c r="U217" s="102">
        <v>3</v>
      </c>
      <c r="V217" s="103">
        <f t="shared" si="390"/>
        <v>0.7</v>
      </c>
      <c r="W217" s="103">
        <f t="shared" si="391"/>
        <v>0.63775510204081631</v>
      </c>
      <c r="X217" s="103">
        <f t="shared" si="392"/>
        <v>0.25</v>
      </c>
      <c r="Y217" s="103">
        <f t="shared" si="393"/>
        <v>0.7</v>
      </c>
      <c r="Z217" s="103">
        <f t="shared" si="394"/>
        <v>0</v>
      </c>
      <c r="AA217" s="104">
        <f t="shared" si="396"/>
        <v>11.900000000000002</v>
      </c>
      <c r="AB217" s="46" t="str">
        <f>AB216</f>
        <v>PRE</v>
      </c>
    </row>
    <row r="218" spans="1:28" ht="39.950000000000003" customHeight="1" x14ac:dyDescent="0.5">
      <c r="A218" s="44" t="str">
        <f>A217</f>
        <v>Smoove Movers</v>
      </c>
      <c r="B218" s="44">
        <f t="shared" ref="B218:C218" si="399">B217</f>
        <v>3</v>
      </c>
      <c r="C218" s="44">
        <f t="shared" si="399"/>
        <v>-1</v>
      </c>
      <c r="D218" s="86" t="s">
        <v>41</v>
      </c>
      <c r="E218" s="163">
        <v>0</v>
      </c>
      <c r="F218" s="163">
        <v>0</v>
      </c>
      <c r="G218" s="163">
        <v>0</v>
      </c>
      <c r="H218" s="163">
        <v>4</v>
      </c>
      <c r="I218" s="163">
        <f t="shared" si="387"/>
        <v>0</v>
      </c>
      <c r="J218" s="163">
        <f t="shared" si="387"/>
        <v>4</v>
      </c>
      <c r="K218" s="163">
        <v>0</v>
      </c>
      <c r="L218" s="163">
        <v>0</v>
      </c>
      <c r="M218" s="163">
        <v>0</v>
      </c>
      <c r="N218" s="163">
        <v>1</v>
      </c>
      <c r="O218" s="163">
        <f t="shared" si="388"/>
        <v>0</v>
      </c>
      <c r="P218" s="163">
        <f t="shared" si="389"/>
        <v>1</v>
      </c>
      <c r="Q218" s="163">
        <v>0</v>
      </c>
      <c r="R218" s="163">
        <v>0</v>
      </c>
      <c r="S218" s="163">
        <v>0</v>
      </c>
      <c r="T218" s="163">
        <v>0</v>
      </c>
      <c r="U218" s="163">
        <v>0</v>
      </c>
      <c r="V218" s="164">
        <f t="shared" si="390"/>
        <v>0</v>
      </c>
      <c r="W218" s="164">
        <f t="shared" si="391"/>
        <v>0</v>
      </c>
      <c r="X218" s="164">
        <f t="shared" si="392"/>
        <v>0</v>
      </c>
      <c r="Y218" s="164">
        <f t="shared" si="393"/>
        <v>0</v>
      </c>
      <c r="Z218" s="164">
        <f t="shared" si="394"/>
        <v>0</v>
      </c>
      <c r="AA218" s="165">
        <f t="shared" si="396"/>
        <v>-2.5</v>
      </c>
      <c r="AB218" s="46" t="str">
        <f>AB217</f>
        <v>PRE</v>
      </c>
    </row>
    <row r="219" spans="1:28" ht="39.950000000000003" customHeight="1" x14ac:dyDescent="0.5">
      <c r="A219" s="44" t="str">
        <f>A216</f>
        <v>Smoove Movers</v>
      </c>
      <c r="B219" s="44">
        <f>B216</f>
        <v>3</v>
      </c>
      <c r="C219" s="44">
        <f>C216</f>
        <v>-1</v>
      </c>
      <c r="D219" s="86" t="s">
        <v>32</v>
      </c>
      <c r="E219" s="105">
        <f>SUM(E214:E218)</f>
        <v>22</v>
      </c>
      <c r="F219" s="105">
        <f t="shared" ref="F219:N219" si="400">SUM(F214:F218)</f>
        <v>43</v>
      </c>
      <c r="G219" s="105">
        <f t="shared" si="400"/>
        <v>1</v>
      </c>
      <c r="H219" s="105">
        <f t="shared" si="400"/>
        <v>12</v>
      </c>
      <c r="I219" s="105">
        <f t="shared" si="400"/>
        <v>23</v>
      </c>
      <c r="J219" s="105">
        <f t="shared" si="400"/>
        <v>55</v>
      </c>
      <c r="K219" s="105">
        <f t="shared" si="400"/>
        <v>7</v>
      </c>
      <c r="L219" s="105">
        <f t="shared" si="400"/>
        <v>13</v>
      </c>
      <c r="M219" s="105">
        <f t="shared" si="400"/>
        <v>14</v>
      </c>
      <c r="N219" s="105">
        <f t="shared" si="400"/>
        <v>21</v>
      </c>
      <c r="O219" s="105">
        <f>SUM(O214:O218)</f>
        <v>54</v>
      </c>
      <c r="P219" s="105">
        <f t="shared" ref="P219:U219" si="401">SUM(P214:P218)</f>
        <v>35</v>
      </c>
      <c r="Q219" s="105">
        <f t="shared" si="401"/>
        <v>12</v>
      </c>
      <c r="R219" s="105">
        <f t="shared" si="401"/>
        <v>1</v>
      </c>
      <c r="S219" s="105">
        <f t="shared" si="401"/>
        <v>4</v>
      </c>
      <c r="T219" s="105">
        <f t="shared" si="401"/>
        <v>8</v>
      </c>
      <c r="U219" s="105">
        <f t="shared" si="401"/>
        <v>11</v>
      </c>
      <c r="V219" s="106">
        <f>IFERROR(I219/J219,0)</f>
        <v>0.41818181818181815</v>
      </c>
      <c r="W219" s="106">
        <f>IFERROR(O219/(2*(J219+0.44*L219)), 0)</f>
        <v>0.44466403162055335</v>
      </c>
      <c r="X219" s="106">
        <f>IFERROR(K219/L219,0)</f>
        <v>0.53846153846153844</v>
      </c>
      <c r="Y219" s="106">
        <f t="shared" si="393"/>
        <v>0.51162790697674421</v>
      </c>
      <c r="Z219" s="106">
        <f>IFERROR(G219/H219,0)</f>
        <v>8.3333333333333329E-2</v>
      </c>
      <c r="AA219" s="107">
        <f>AVERAGE(AA214:AA218)</f>
        <v>7.8200000000000021</v>
      </c>
      <c r="AB219" s="46" t="str">
        <f>AB217</f>
        <v>PRE</v>
      </c>
    </row>
    <row r="220" spans="1:28" ht="39.950000000000003" customHeight="1" x14ac:dyDescent="0.55000000000000004">
      <c r="A220" s="44" t="s">
        <v>33</v>
      </c>
      <c r="B220" s="44">
        <f t="shared" ref="B220:C220" si="402">B219</f>
        <v>3</v>
      </c>
      <c r="C220" s="44">
        <f t="shared" si="402"/>
        <v>-1</v>
      </c>
      <c r="D220" s="158" t="s">
        <v>67</v>
      </c>
      <c r="E220" s="83"/>
      <c r="F220" s="83"/>
      <c r="G220" s="83"/>
      <c r="H220" s="83"/>
      <c r="I220" s="83"/>
      <c r="J220" s="83"/>
      <c r="K220" s="83"/>
      <c r="L220" s="83"/>
      <c r="M220" s="83"/>
      <c r="N220" s="83"/>
      <c r="O220" s="83">
        <v>44</v>
      </c>
      <c r="P220" s="83"/>
      <c r="Q220" s="83"/>
      <c r="R220" s="83"/>
      <c r="S220" s="83"/>
      <c r="T220" s="83"/>
      <c r="U220" s="83"/>
      <c r="V220" s="83"/>
      <c r="W220" s="83"/>
      <c r="X220" s="83"/>
      <c r="Y220" s="83"/>
      <c r="Z220" s="83"/>
      <c r="AA220" s="83"/>
      <c r="AB220" s="46" t="str">
        <f>AB219</f>
        <v>PRE</v>
      </c>
    </row>
    <row r="221" spans="1:28" ht="39.950000000000003" customHeight="1" x14ac:dyDescent="0.5">
      <c r="A221" s="44" t="str">
        <f>D227</f>
        <v>The Warriors</v>
      </c>
      <c r="B221" s="44">
        <v>3</v>
      </c>
      <c r="C221" s="44">
        <v>1</v>
      </c>
      <c r="D221" s="86" t="s">
        <v>65</v>
      </c>
      <c r="E221" s="87">
        <v>4</v>
      </c>
      <c r="F221" s="87">
        <v>11</v>
      </c>
      <c r="G221" s="87">
        <v>2</v>
      </c>
      <c r="H221" s="87">
        <v>3</v>
      </c>
      <c r="I221" s="87">
        <f>E221+G221</f>
        <v>6</v>
      </c>
      <c r="J221" s="87">
        <f>F221+H221</f>
        <v>14</v>
      </c>
      <c r="K221" s="87">
        <v>0</v>
      </c>
      <c r="L221" s="87">
        <v>0</v>
      </c>
      <c r="M221" s="87">
        <v>5</v>
      </c>
      <c r="N221" s="87">
        <v>4</v>
      </c>
      <c r="O221" s="87">
        <f>E221*2+G221*3+K221</f>
        <v>14</v>
      </c>
      <c r="P221" s="87">
        <f>M221+N221</f>
        <v>9</v>
      </c>
      <c r="Q221" s="87">
        <v>1</v>
      </c>
      <c r="R221" s="87">
        <v>0</v>
      </c>
      <c r="S221" s="87">
        <v>5</v>
      </c>
      <c r="T221" s="87">
        <v>1</v>
      </c>
      <c r="U221" s="87">
        <v>3</v>
      </c>
      <c r="V221" s="88">
        <f>IFERROR(I221/J221,0)</f>
        <v>0.42857142857142855</v>
      </c>
      <c r="W221" s="88">
        <f>IFERROR(O221/(2*(J221+0.44*L221)), 0)</f>
        <v>0.5</v>
      </c>
      <c r="X221" s="88">
        <f>IFERROR(K221/L221,0)</f>
        <v>0</v>
      </c>
      <c r="Y221" s="88">
        <f>IFERROR(E221/F221,0)</f>
        <v>0.36363636363636365</v>
      </c>
      <c r="Z221" s="88">
        <f>IFERROR(G221/H221,0)</f>
        <v>0.66666666666666663</v>
      </c>
      <c r="AA221" s="89">
        <f>(O221)+(0.4*I221)-(0.7*J221)-(0.4*(L221-K221))+(0.7*M221)+(0.3*N221)+S221+(0.7*Q221)+(0.7*R221)-(0.4*U221)-T221</f>
        <v>14.799999999999997</v>
      </c>
      <c r="AB221" s="167" t="s">
        <v>27</v>
      </c>
    </row>
    <row r="222" spans="1:28" ht="39.950000000000003" customHeight="1" x14ac:dyDescent="0.5">
      <c r="A222" s="44" t="str">
        <f t="shared" ref="A222:C223" si="403">A221</f>
        <v>The Warriors</v>
      </c>
      <c r="B222" s="44">
        <f t="shared" si="403"/>
        <v>3</v>
      </c>
      <c r="C222" s="44">
        <f t="shared" si="403"/>
        <v>1</v>
      </c>
      <c r="D222" s="86" t="s">
        <v>68</v>
      </c>
      <c r="E222" s="93">
        <v>3</v>
      </c>
      <c r="F222" s="93">
        <v>6</v>
      </c>
      <c r="G222" s="93">
        <v>0</v>
      </c>
      <c r="H222" s="93">
        <v>2</v>
      </c>
      <c r="I222" s="93">
        <f t="shared" ref="I222:J225" si="404">E222+G222</f>
        <v>3</v>
      </c>
      <c r="J222" s="93">
        <f t="shared" si="404"/>
        <v>8</v>
      </c>
      <c r="K222" s="93">
        <v>1</v>
      </c>
      <c r="L222" s="93">
        <v>1</v>
      </c>
      <c r="M222" s="93">
        <v>1</v>
      </c>
      <c r="N222" s="93">
        <v>3</v>
      </c>
      <c r="O222" s="93">
        <f t="shared" ref="O222:O225" si="405">E222*2+G222*3+K222</f>
        <v>7</v>
      </c>
      <c r="P222" s="93">
        <f t="shared" ref="P222:P225" si="406">M222+N222</f>
        <v>4</v>
      </c>
      <c r="Q222" s="93">
        <v>3</v>
      </c>
      <c r="R222" s="93">
        <v>0</v>
      </c>
      <c r="S222" s="93">
        <v>5</v>
      </c>
      <c r="T222" s="93">
        <v>4</v>
      </c>
      <c r="U222" s="93">
        <v>4</v>
      </c>
      <c r="V222" s="94">
        <f t="shared" ref="V222:V225" si="407">IFERROR(I222/J222,0)</f>
        <v>0.375</v>
      </c>
      <c r="W222" s="94">
        <f t="shared" ref="W222:W225" si="408">IFERROR(O222/(2*(J222+0.44*L222)), 0)</f>
        <v>0.41469194312796209</v>
      </c>
      <c r="X222" s="94">
        <f t="shared" ref="X222:X225" si="409">IFERROR(K222/L222,0)</f>
        <v>1</v>
      </c>
      <c r="Y222" s="94">
        <f t="shared" ref="Y222:Y225" si="410">IFERROR(E222/F222,0)</f>
        <v>0.5</v>
      </c>
      <c r="Z222" s="94">
        <f t="shared" ref="Z222:Z226" si="411">IFERROR(G222/H222,0)</f>
        <v>0</v>
      </c>
      <c r="AA222" s="95">
        <f t="shared" ref="AA222:AA225" si="412">(O222)+(0.4*I222)-(0.7*J222)-(0.4*(L222-K222))+(0.7*M222)+(0.3*N222)+S222+(0.7*Q222)+(0.7*R222)-(0.4*U222)-T222</f>
        <v>5.6999999999999993</v>
      </c>
      <c r="AB222" s="46" t="str">
        <f t="shared" ref="AB222:AB223" si="413">AB221</f>
        <v>REG</v>
      </c>
    </row>
    <row r="223" spans="1:28" ht="39.950000000000003" customHeight="1" x14ac:dyDescent="0.5">
      <c r="A223" s="44" t="str">
        <f t="shared" si="403"/>
        <v>The Warriors</v>
      </c>
      <c r="B223" s="44">
        <f t="shared" si="403"/>
        <v>3</v>
      </c>
      <c r="C223" s="44">
        <f t="shared" si="403"/>
        <v>1</v>
      </c>
      <c r="D223" s="86" t="s">
        <v>45</v>
      </c>
      <c r="E223" s="99">
        <v>8</v>
      </c>
      <c r="F223" s="99">
        <v>17</v>
      </c>
      <c r="G223" s="99">
        <v>0</v>
      </c>
      <c r="H223" s="99">
        <v>2</v>
      </c>
      <c r="I223" s="99">
        <f>E223+G223</f>
        <v>8</v>
      </c>
      <c r="J223" s="99">
        <f t="shared" si="404"/>
        <v>19</v>
      </c>
      <c r="K223" s="99">
        <v>3</v>
      </c>
      <c r="L223" s="99">
        <v>4</v>
      </c>
      <c r="M223" s="99">
        <v>6</v>
      </c>
      <c r="N223" s="99">
        <v>1</v>
      </c>
      <c r="O223" s="99">
        <f t="shared" si="405"/>
        <v>19</v>
      </c>
      <c r="P223" s="99">
        <f t="shared" si="406"/>
        <v>7</v>
      </c>
      <c r="Q223" s="99">
        <v>2</v>
      </c>
      <c r="R223" s="99">
        <v>0</v>
      </c>
      <c r="S223" s="99">
        <v>0</v>
      </c>
      <c r="T223" s="99">
        <v>3</v>
      </c>
      <c r="U223" s="99">
        <v>3</v>
      </c>
      <c r="V223" s="100">
        <f t="shared" si="407"/>
        <v>0.42105263157894735</v>
      </c>
      <c r="W223" s="100">
        <f t="shared" si="408"/>
        <v>0.45761078998073212</v>
      </c>
      <c r="X223" s="100">
        <f t="shared" si="409"/>
        <v>0.75</v>
      </c>
      <c r="Y223" s="100">
        <f t="shared" si="410"/>
        <v>0.47058823529411764</v>
      </c>
      <c r="Z223" s="100">
        <f t="shared" si="411"/>
        <v>0</v>
      </c>
      <c r="AA223" s="101">
        <f t="shared" si="412"/>
        <v>10.199999999999999</v>
      </c>
      <c r="AB223" s="46" t="str">
        <f t="shared" si="413"/>
        <v>REG</v>
      </c>
    </row>
    <row r="224" spans="1:28" ht="39.950000000000003" customHeight="1" x14ac:dyDescent="0.5">
      <c r="A224" s="44" t="str">
        <f t="shared" ref="A224:C224" si="414">A222</f>
        <v>The Warriors</v>
      </c>
      <c r="B224" s="44">
        <f t="shared" si="414"/>
        <v>3</v>
      </c>
      <c r="C224" s="44">
        <f t="shared" si="414"/>
        <v>1</v>
      </c>
      <c r="D224" s="86" t="s">
        <v>69</v>
      </c>
      <c r="E224" s="102">
        <v>7</v>
      </c>
      <c r="F224" s="102">
        <v>10</v>
      </c>
      <c r="G224" s="102">
        <v>0</v>
      </c>
      <c r="H224" s="102">
        <v>0</v>
      </c>
      <c r="I224" s="102">
        <f t="shared" si="404"/>
        <v>7</v>
      </c>
      <c r="J224" s="102">
        <f t="shared" si="404"/>
        <v>10</v>
      </c>
      <c r="K224" s="102">
        <v>6</v>
      </c>
      <c r="L224" s="102">
        <v>8</v>
      </c>
      <c r="M224" s="102">
        <v>1</v>
      </c>
      <c r="N224" s="102">
        <v>4</v>
      </c>
      <c r="O224" s="102">
        <f t="shared" si="405"/>
        <v>20</v>
      </c>
      <c r="P224" s="102">
        <f t="shared" si="406"/>
        <v>5</v>
      </c>
      <c r="Q224" s="102">
        <v>4</v>
      </c>
      <c r="R224" s="102">
        <v>0</v>
      </c>
      <c r="S224" s="102">
        <v>2</v>
      </c>
      <c r="T224" s="102">
        <v>1</v>
      </c>
      <c r="U224" s="102">
        <v>3</v>
      </c>
      <c r="V224" s="103">
        <f t="shared" si="407"/>
        <v>0.7</v>
      </c>
      <c r="W224" s="103">
        <f t="shared" si="408"/>
        <v>0.73964497041420119</v>
      </c>
      <c r="X224" s="103">
        <f t="shared" si="409"/>
        <v>0.75</v>
      </c>
      <c r="Y224" s="103">
        <f t="shared" si="410"/>
        <v>0.7</v>
      </c>
      <c r="Z224" s="103">
        <f t="shared" si="411"/>
        <v>0</v>
      </c>
      <c r="AA224" s="104">
        <f t="shared" si="412"/>
        <v>19.5</v>
      </c>
      <c r="AB224" s="46" t="str">
        <f>AB223</f>
        <v>REG</v>
      </c>
    </row>
    <row r="225" spans="1:28" ht="39.950000000000003" customHeight="1" x14ac:dyDescent="0.5">
      <c r="A225" s="44" t="str">
        <f>A224</f>
        <v>The Warriors</v>
      </c>
      <c r="B225" s="44">
        <f t="shared" ref="B225:C225" si="415">B224</f>
        <v>3</v>
      </c>
      <c r="C225" s="44">
        <f t="shared" si="415"/>
        <v>1</v>
      </c>
      <c r="D225" s="86" t="s">
        <v>41</v>
      </c>
      <c r="E225" s="163">
        <v>0</v>
      </c>
      <c r="F225" s="163">
        <v>2</v>
      </c>
      <c r="G225" s="163">
        <v>0</v>
      </c>
      <c r="H225" s="163">
        <v>4</v>
      </c>
      <c r="I225" s="163">
        <f t="shared" si="404"/>
        <v>0</v>
      </c>
      <c r="J225" s="163">
        <f t="shared" si="404"/>
        <v>6</v>
      </c>
      <c r="K225" s="163">
        <v>0</v>
      </c>
      <c r="L225" s="163">
        <v>0</v>
      </c>
      <c r="M225" s="163">
        <v>1</v>
      </c>
      <c r="N225" s="163">
        <v>3</v>
      </c>
      <c r="O225" s="163">
        <f t="shared" si="405"/>
        <v>0</v>
      </c>
      <c r="P225" s="163">
        <f t="shared" si="406"/>
        <v>4</v>
      </c>
      <c r="Q225" s="163">
        <v>0</v>
      </c>
      <c r="R225" s="163">
        <v>0</v>
      </c>
      <c r="S225" s="163">
        <v>0</v>
      </c>
      <c r="T225" s="163">
        <v>4</v>
      </c>
      <c r="U225" s="163">
        <v>1</v>
      </c>
      <c r="V225" s="164">
        <f t="shared" si="407"/>
        <v>0</v>
      </c>
      <c r="W225" s="164">
        <f t="shared" si="408"/>
        <v>0</v>
      </c>
      <c r="X225" s="164">
        <f t="shared" si="409"/>
        <v>0</v>
      </c>
      <c r="Y225" s="164">
        <f t="shared" si="410"/>
        <v>0</v>
      </c>
      <c r="Z225" s="164">
        <f t="shared" si="411"/>
        <v>0</v>
      </c>
      <c r="AA225" s="165">
        <f t="shared" si="412"/>
        <v>-6.9999999999999991</v>
      </c>
      <c r="AB225" s="46" t="str">
        <f>AB224</f>
        <v>REG</v>
      </c>
    </row>
    <row r="226" spans="1:28" ht="39.950000000000003" customHeight="1" x14ac:dyDescent="0.5">
      <c r="A226" s="44" t="str">
        <f>A223</f>
        <v>The Warriors</v>
      </c>
      <c r="B226" s="44">
        <f>B223</f>
        <v>3</v>
      </c>
      <c r="C226" s="44">
        <f>C223</f>
        <v>1</v>
      </c>
      <c r="D226" s="86" t="s">
        <v>32</v>
      </c>
      <c r="E226" s="105">
        <f t="shared" ref="E226:U226" si="416">SUM(E221:E225)</f>
        <v>22</v>
      </c>
      <c r="F226" s="105">
        <f t="shared" si="416"/>
        <v>46</v>
      </c>
      <c r="G226" s="105">
        <f t="shared" si="416"/>
        <v>2</v>
      </c>
      <c r="H226" s="105">
        <f t="shared" si="416"/>
        <v>11</v>
      </c>
      <c r="I226" s="105">
        <f t="shared" si="416"/>
        <v>24</v>
      </c>
      <c r="J226" s="105">
        <f t="shared" si="416"/>
        <v>57</v>
      </c>
      <c r="K226" s="105">
        <f t="shared" si="416"/>
        <v>10</v>
      </c>
      <c r="L226" s="105">
        <f t="shared" si="416"/>
        <v>13</v>
      </c>
      <c r="M226" s="105">
        <f t="shared" si="416"/>
        <v>14</v>
      </c>
      <c r="N226" s="105">
        <f t="shared" si="416"/>
        <v>15</v>
      </c>
      <c r="O226" s="105">
        <f t="shared" si="416"/>
        <v>60</v>
      </c>
      <c r="P226" s="105">
        <f t="shared" si="416"/>
        <v>29</v>
      </c>
      <c r="Q226" s="105">
        <f t="shared" si="416"/>
        <v>10</v>
      </c>
      <c r="R226" s="105">
        <f t="shared" si="416"/>
        <v>0</v>
      </c>
      <c r="S226" s="105">
        <f t="shared" si="416"/>
        <v>12</v>
      </c>
      <c r="T226" s="105">
        <f t="shared" si="416"/>
        <v>13</v>
      </c>
      <c r="U226" s="105">
        <f t="shared" si="416"/>
        <v>14</v>
      </c>
      <c r="V226" s="106">
        <f>IFERROR(I226/J226,0)</f>
        <v>0.42105263157894735</v>
      </c>
      <c r="W226" s="106">
        <f>IFERROR(O226/(2*(J226+0.44*L226)), 0)</f>
        <v>0.47831632653061223</v>
      </c>
      <c r="X226" s="106">
        <f>IFERROR(K226/L226,0)</f>
        <v>0.76923076923076927</v>
      </c>
      <c r="Y226" s="106">
        <f>IFERROR(E226/F226,0)</f>
        <v>0.47826086956521741</v>
      </c>
      <c r="Z226" s="106">
        <f t="shared" si="411"/>
        <v>0.18181818181818182</v>
      </c>
      <c r="AA226" s="107">
        <f>IFERROR(AVERAGE(AA221:AA225),0)</f>
        <v>8.6399999999999988</v>
      </c>
      <c r="AB226" s="46" t="str">
        <f>AB224</f>
        <v>REG</v>
      </c>
    </row>
    <row r="227" spans="1:28" ht="39.950000000000003" customHeight="1" x14ac:dyDescent="0.55000000000000004">
      <c r="A227" s="44" t="s">
        <v>33</v>
      </c>
      <c r="B227" s="44">
        <f t="shared" ref="B227:C227" si="417">B226</f>
        <v>3</v>
      </c>
      <c r="C227" s="44">
        <f t="shared" si="417"/>
        <v>1</v>
      </c>
      <c r="D227" s="158" t="s">
        <v>70</v>
      </c>
      <c r="E227" s="83"/>
      <c r="F227" s="83"/>
      <c r="G227" s="83"/>
      <c r="H227" s="83"/>
      <c r="I227" s="83"/>
      <c r="J227" s="83"/>
      <c r="K227" s="83"/>
      <c r="L227" s="83"/>
      <c r="M227" s="83"/>
      <c r="N227" s="83"/>
      <c r="O227" s="83">
        <v>50</v>
      </c>
      <c r="P227" s="83"/>
      <c r="Q227" s="83"/>
      <c r="R227" s="83"/>
      <c r="S227" s="83"/>
      <c r="T227" s="83"/>
      <c r="U227" s="83"/>
      <c r="V227" s="83"/>
      <c r="W227" s="83"/>
      <c r="X227" s="83"/>
      <c r="Y227" s="83"/>
      <c r="Z227" s="83"/>
      <c r="AA227" s="83"/>
      <c r="AB227" s="46" t="str">
        <f>AB226</f>
        <v>REG</v>
      </c>
    </row>
    <row r="228" spans="1:28" ht="39.950000000000003" customHeight="1" x14ac:dyDescent="0.5">
      <c r="A228" s="44" t="str">
        <f>D235</f>
        <v>Wolves</v>
      </c>
      <c r="B228" s="44">
        <v>3</v>
      </c>
      <c r="C228" s="44">
        <v>2</v>
      </c>
      <c r="D228" s="86" t="s">
        <v>65</v>
      </c>
      <c r="E228" s="87">
        <v>3</v>
      </c>
      <c r="F228" s="87">
        <v>12</v>
      </c>
      <c r="G228" s="87">
        <v>0</v>
      </c>
      <c r="H228" s="87">
        <v>2</v>
      </c>
      <c r="I228" s="87">
        <f>E228+G228</f>
        <v>3</v>
      </c>
      <c r="J228" s="87">
        <f>F228+H228</f>
        <v>14</v>
      </c>
      <c r="K228" s="87">
        <v>0</v>
      </c>
      <c r="L228" s="87">
        <v>0</v>
      </c>
      <c r="M228" s="87">
        <v>5</v>
      </c>
      <c r="N228" s="87">
        <v>3</v>
      </c>
      <c r="O228" s="87">
        <f>E228*2+G228*3+K228</f>
        <v>6</v>
      </c>
      <c r="P228" s="87">
        <f>M228+N228</f>
        <v>8</v>
      </c>
      <c r="Q228" s="87">
        <v>3</v>
      </c>
      <c r="R228" s="87">
        <v>0</v>
      </c>
      <c r="S228" s="87">
        <v>1</v>
      </c>
      <c r="T228" s="87">
        <v>0</v>
      </c>
      <c r="U228" s="87">
        <v>4</v>
      </c>
      <c r="V228" s="88">
        <f>IFERROR(I228/J228,0)</f>
        <v>0.21428571428571427</v>
      </c>
      <c r="W228" s="88">
        <f>IFERROR(O228/(2*(J228+0.44*L228)), 0)</f>
        <v>0.21428571428571427</v>
      </c>
      <c r="X228" s="88">
        <f>IFERROR(K228/L228,0)</f>
        <v>0</v>
      </c>
      <c r="Y228" s="88">
        <f>IFERROR(E228/F228,0)</f>
        <v>0.25</v>
      </c>
      <c r="Z228" s="88">
        <f>IFERROR(G228/H228,0)</f>
        <v>0</v>
      </c>
      <c r="AA228" s="89">
        <f>(O228)+(0.4*I228)-(0.7*J228)-(0.4*(L228-K228))+(0.7*M228)+(0.3*N228)+S228+(0.7*Q228)+(0.7*R228)-(0.4*U228)-T228</f>
        <v>3.3000000000000003</v>
      </c>
      <c r="AB228" s="168" t="s">
        <v>27</v>
      </c>
    </row>
    <row r="229" spans="1:28" ht="39.950000000000003" customHeight="1" x14ac:dyDescent="0.5">
      <c r="A229" s="44" t="str">
        <f>A228</f>
        <v>Wolves</v>
      </c>
      <c r="B229" s="44">
        <v>3</v>
      </c>
      <c r="C229" s="44">
        <f>C228</f>
        <v>2</v>
      </c>
      <c r="D229" s="86" t="s">
        <v>28</v>
      </c>
      <c r="E229" s="90">
        <v>5</v>
      </c>
      <c r="F229" s="90">
        <v>11</v>
      </c>
      <c r="G229" s="90">
        <v>3</v>
      </c>
      <c r="H229" s="90">
        <v>5</v>
      </c>
      <c r="I229" s="90">
        <f t="shared" ref="I229:J233" si="418">E229+G229</f>
        <v>8</v>
      </c>
      <c r="J229" s="90">
        <f t="shared" si="418"/>
        <v>16</v>
      </c>
      <c r="K229" s="90">
        <v>0</v>
      </c>
      <c r="L229" s="90">
        <v>1</v>
      </c>
      <c r="M229" s="90">
        <v>1</v>
      </c>
      <c r="N229" s="90">
        <v>3</v>
      </c>
      <c r="O229" s="90">
        <f t="shared" ref="O229:O233" si="419">E229*2+G229*3+K229</f>
        <v>19</v>
      </c>
      <c r="P229" s="90">
        <f t="shared" ref="P229:P233" si="420">M229+N229</f>
        <v>4</v>
      </c>
      <c r="Q229" s="90">
        <v>1</v>
      </c>
      <c r="R229" s="90">
        <v>0</v>
      </c>
      <c r="S229" s="90">
        <v>2</v>
      </c>
      <c r="T229" s="90">
        <v>1</v>
      </c>
      <c r="U229" s="90">
        <v>2</v>
      </c>
      <c r="V229" s="91">
        <f t="shared" ref="V229:V233" si="421">IFERROR(I229/J229,0)</f>
        <v>0.5</v>
      </c>
      <c r="W229" s="91">
        <f t="shared" ref="W229:W233" si="422">IFERROR(O229/(2*(J229+0.44*L229)), 0)</f>
        <v>0.57785888077858871</v>
      </c>
      <c r="X229" s="91">
        <f t="shared" ref="X229:X233" si="423">IFERROR(K229/L229,0)</f>
        <v>0</v>
      </c>
      <c r="Y229" s="91">
        <f t="shared" ref="Y229:Y233" si="424">IFERROR(E229/F229,0)</f>
        <v>0.45454545454545453</v>
      </c>
      <c r="Z229" s="91">
        <f t="shared" ref="Z229:Z234" si="425">IFERROR(G229/H229,0)</f>
        <v>0.6</v>
      </c>
      <c r="AA229" s="92">
        <f t="shared" ref="AA229:AA233" si="426">(O229)+(0.4*I229)-(0.7*J229)-(0.4*(L229-K229))+(0.7*M229)+(0.3*N229)+S229+(0.7*Q229)+(0.7*R229)-(0.4*U229)-T229</f>
        <v>13.099999999999998</v>
      </c>
      <c r="AB229" s="168" t="str">
        <f>AB228</f>
        <v>REG</v>
      </c>
    </row>
    <row r="230" spans="1:28" ht="39.950000000000003" customHeight="1" x14ac:dyDescent="0.5">
      <c r="A230" s="44" t="str">
        <f t="shared" ref="A230:C231" si="427">A229</f>
        <v>Wolves</v>
      </c>
      <c r="B230" s="44">
        <f t="shared" si="427"/>
        <v>3</v>
      </c>
      <c r="C230" s="44">
        <f t="shared" si="427"/>
        <v>2</v>
      </c>
      <c r="D230" s="86" t="s">
        <v>60</v>
      </c>
      <c r="E230" s="93">
        <v>0</v>
      </c>
      <c r="F230" s="93">
        <v>1</v>
      </c>
      <c r="G230" s="93">
        <v>0</v>
      </c>
      <c r="H230" s="93">
        <v>1</v>
      </c>
      <c r="I230" s="93">
        <f t="shared" si="418"/>
        <v>0</v>
      </c>
      <c r="J230" s="93">
        <f t="shared" si="418"/>
        <v>2</v>
      </c>
      <c r="K230" s="93">
        <v>0</v>
      </c>
      <c r="L230" s="93">
        <v>0</v>
      </c>
      <c r="M230" s="93">
        <v>1</v>
      </c>
      <c r="N230" s="93">
        <v>0</v>
      </c>
      <c r="O230" s="93">
        <f t="shared" si="419"/>
        <v>0</v>
      </c>
      <c r="P230" s="93">
        <f t="shared" si="420"/>
        <v>1</v>
      </c>
      <c r="Q230" s="93">
        <v>0</v>
      </c>
      <c r="R230" s="93">
        <v>0</v>
      </c>
      <c r="S230" s="93">
        <v>0</v>
      </c>
      <c r="T230" s="93">
        <v>0</v>
      </c>
      <c r="U230" s="93">
        <v>4</v>
      </c>
      <c r="V230" s="94">
        <f t="shared" si="421"/>
        <v>0</v>
      </c>
      <c r="W230" s="94">
        <f t="shared" si="422"/>
        <v>0</v>
      </c>
      <c r="X230" s="94">
        <f t="shared" si="423"/>
        <v>0</v>
      </c>
      <c r="Y230" s="94">
        <f t="shared" si="424"/>
        <v>0</v>
      </c>
      <c r="Z230" s="94">
        <f t="shared" si="425"/>
        <v>0</v>
      </c>
      <c r="AA230" s="95">
        <f t="shared" si="426"/>
        <v>-2.2999999999999998</v>
      </c>
      <c r="AB230" s="46" t="str">
        <f t="shared" ref="AB230:AB231" si="428">AB229</f>
        <v>REG</v>
      </c>
    </row>
    <row r="231" spans="1:28" ht="39.950000000000003" customHeight="1" x14ac:dyDescent="0.5">
      <c r="A231" s="44" t="str">
        <f t="shared" si="427"/>
        <v>Wolves</v>
      </c>
      <c r="B231" s="44">
        <f t="shared" si="427"/>
        <v>3</v>
      </c>
      <c r="C231" s="44">
        <f t="shared" si="427"/>
        <v>2</v>
      </c>
      <c r="D231" s="86" t="s">
        <v>45</v>
      </c>
      <c r="E231" s="99">
        <v>6</v>
      </c>
      <c r="F231" s="99">
        <v>12</v>
      </c>
      <c r="G231" s="99">
        <v>0</v>
      </c>
      <c r="H231" s="99">
        <v>1</v>
      </c>
      <c r="I231" s="99">
        <f t="shared" si="418"/>
        <v>6</v>
      </c>
      <c r="J231" s="99">
        <f t="shared" si="418"/>
        <v>13</v>
      </c>
      <c r="K231" s="99">
        <v>2</v>
      </c>
      <c r="L231" s="99">
        <v>5</v>
      </c>
      <c r="M231" s="99">
        <v>3</v>
      </c>
      <c r="N231" s="99">
        <v>6</v>
      </c>
      <c r="O231" s="99">
        <f t="shared" si="419"/>
        <v>14</v>
      </c>
      <c r="P231" s="99">
        <f t="shared" si="420"/>
        <v>9</v>
      </c>
      <c r="Q231" s="99">
        <v>4</v>
      </c>
      <c r="R231" s="99">
        <v>0</v>
      </c>
      <c r="S231" s="99">
        <v>1</v>
      </c>
      <c r="T231" s="99">
        <v>2</v>
      </c>
      <c r="U231" s="99">
        <v>1</v>
      </c>
      <c r="V231" s="100">
        <f t="shared" si="421"/>
        <v>0.46153846153846156</v>
      </c>
      <c r="W231" s="100">
        <f t="shared" si="422"/>
        <v>0.46052631578947373</v>
      </c>
      <c r="X231" s="100">
        <f t="shared" si="423"/>
        <v>0.4</v>
      </c>
      <c r="Y231" s="100">
        <f t="shared" si="424"/>
        <v>0.5</v>
      </c>
      <c r="Z231" s="100">
        <f t="shared" si="425"/>
        <v>0</v>
      </c>
      <c r="AA231" s="101">
        <f t="shared" si="426"/>
        <v>11.4</v>
      </c>
      <c r="AB231" s="46" t="str">
        <f t="shared" si="428"/>
        <v>REG</v>
      </c>
    </row>
    <row r="232" spans="1:28" ht="39.950000000000003" customHeight="1" x14ac:dyDescent="0.5">
      <c r="A232" s="44" t="str">
        <f t="shared" ref="A232:C232" si="429">A230</f>
        <v>Wolves</v>
      </c>
      <c r="B232" s="44">
        <f t="shared" si="429"/>
        <v>3</v>
      </c>
      <c r="C232" s="44">
        <f t="shared" si="429"/>
        <v>2</v>
      </c>
      <c r="D232" s="86" t="s">
        <v>73</v>
      </c>
      <c r="E232" s="102">
        <v>0</v>
      </c>
      <c r="F232" s="102">
        <v>0</v>
      </c>
      <c r="G232" s="102">
        <v>0</v>
      </c>
      <c r="H232" s="102">
        <v>0</v>
      </c>
      <c r="I232" s="102">
        <f t="shared" si="418"/>
        <v>0</v>
      </c>
      <c r="J232" s="102">
        <v>0</v>
      </c>
      <c r="K232" s="102">
        <v>2</v>
      </c>
      <c r="L232" s="102">
        <v>2</v>
      </c>
      <c r="M232" s="102">
        <v>0</v>
      </c>
      <c r="N232" s="102">
        <v>4</v>
      </c>
      <c r="O232" s="102">
        <f t="shared" si="419"/>
        <v>2</v>
      </c>
      <c r="P232" s="102">
        <f t="shared" si="420"/>
        <v>4</v>
      </c>
      <c r="Q232" s="102">
        <v>4</v>
      </c>
      <c r="R232" s="102">
        <v>0</v>
      </c>
      <c r="S232" s="102">
        <v>0</v>
      </c>
      <c r="T232" s="102">
        <v>1</v>
      </c>
      <c r="U232" s="102">
        <v>2</v>
      </c>
      <c r="V232" s="103">
        <f t="shared" si="421"/>
        <v>0</v>
      </c>
      <c r="W232" s="103">
        <f t="shared" si="422"/>
        <v>1.1363636363636365</v>
      </c>
      <c r="X232" s="103">
        <f t="shared" si="423"/>
        <v>1</v>
      </c>
      <c r="Y232" s="103">
        <f t="shared" si="424"/>
        <v>0</v>
      </c>
      <c r="Z232" s="103">
        <f t="shared" si="425"/>
        <v>0</v>
      </c>
      <c r="AA232" s="104">
        <f t="shared" si="426"/>
        <v>4.2</v>
      </c>
      <c r="AB232" s="46" t="str">
        <f>AB231</f>
        <v>REG</v>
      </c>
    </row>
    <row r="233" spans="1:28" ht="39.950000000000003" customHeight="1" x14ac:dyDescent="0.5">
      <c r="A233" s="44" t="str">
        <f>A232</f>
        <v>Wolves</v>
      </c>
      <c r="B233" s="44">
        <f t="shared" ref="B233:C233" si="430">B232</f>
        <v>3</v>
      </c>
      <c r="C233" s="44">
        <f t="shared" si="430"/>
        <v>2</v>
      </c>
      <c r="D233" s="86" t="s">
        <v>41</v>
      </c>
      <c r="E233" s="163">
        <v>0</v>
      </c>
      <c r="F233" s="163">
        <v>3</v>
      </c>
      <c r="G233" s="163">
        <v>1</v>
      </c>
      <c r="H233" s="163">
        <v>4</v>
      </c>
      <c r="I233" s="163">
        <f t="shared" si="418"/>
        <v>1</v>
      </c>
      <c r="J233" s="163">
        <f t="shared" si="418"/>
        <v>7</v>
      </c>
      <c r="K233" s="163">
        <v>2</v>
      </c>
      <c r="L233" s="163">
        <v>4</v>
      </c>
      <c r="M233" s="163">
        <v>0</v>
      </c>
      <c r="N233" s="163">
        <v>0</v>
      </c>
      <c r="O233" s="163">
        <f t="shared" si="419"/>
        <v>5</v>
      </c>
      <c r="P233" s="163">
        <f t="shared" si="420"/>
        <v>0</v>
      </c>
      <c r="Q233" s="163">
        <v>0</v>
      </c>
      <c r="R233" s="163">
        <v>0</v>
      </c>
      <c r="S233" s="163">
        <v>1</v>
      </c>
      <c r="T233" s="163">
        <v>0</v>
      </c>
      <c r="U233" s="163">
        <v>0</v>
      </c>
      <c r="V233" s="164">
        <f t="shared" si="421"/>
        <v>0.14285714285714285</v>
      </c>
      <c r="W233" s="164">
        <f t="shared" si="422"/>
        <v>0.28538812785388129</v>
      </c>
      <c r="X233" s="164">
        <f t="shared" si="423"/>
        <v>0.5</v>
      </c>
      <c r="Y233" s="164">
        <f t="shared" si="424"/>
        <v>0</v>
      </c>
      <c r="Z233" s="164">
        <f t="shared" si="425"/>
        <v>0.25</v>
      </c>
      <c r="AA233" s="165">
        <f t="shared" si="426"/>
        <v>0.70000000000000084</v>
      </c>
      <c r="AB233" s="46" t="str">
        <f>AB232</f>
        <v>REG</v>
      </c>
    </row>
    <row r="234" spans="1:28" ht="39.950000000000003" customHeight="1" x14ac:dyDescent="0.5">
      <c r="A234" s="44" t="str">
        <f>A231</f>
        <v>Wolves</v>
      </c>
      <c r="B234" s="44">
        <f>B231</f>
        <v>3</v>
      </c>
      <c r="C234" s="44">
        <f>C231</f>
        <v>2</v>
      </c>
      <c r="D234" s="86" t="s">
        <v>32</v>
      </c>
      <c r="E234" s="105">
        <f>SUM(E228:E233)</f>
        <v>14</v>
      </c>
      <c r="F234" s="105">
        <f t="shared" ref="F234:U234" si="431">SUM(F228:F233)</f>
        <v>39</v>
      </c>
      <c r="G234" s="105">
        <f t="shared" si="431"/>
        <v>4</v>
      </c>
      <c r="H234" s="105">
        <f t="shared" si="431"/>
        <v>13</v>
      </c>
      <c r="I234" s="105">
        <f t="shared" si="431"/>
        <v>18</v>
      </c>
      <c r="J234" s="105">
        <f t="shared" si="431"/>
        <v>52</v>
      </c>
      <c r="K234" s="105">
        <f t="shared" si="431"/>
        <v>6</v>
      </c>
      <c r="L234" s="105">
        <f t="shared" si="431"/>
        <v>12</v>
      </c>
      <c r="M234" s="105">
        <f t="shared" si="431"/>
        <v>10</v>
      </c>
      <c r="N234" s="105">
        <f t="shared" si="431"/>
        <v>16</v>
      </c>
      <c r="O234" s="105">
        <f t="shared" si="431"/>
        <v>46</v>
      </c>
      <c r="P234" s="105">
        <f t="shared" si="431"/>
        <v>26</v>
      </c>
      <c r="Q234" s="105">
        <f t="shared" si="431"/>
        <v>12</v>
      </c>
      <c r="R234" s="105">
        <f t="shared" si="431"/>
        <v>0</v>
      </c>
      <c r="S234" s="105">
        <f t="shared" si="431"/>
        <v>5</v>
      </c>
      <c r="T234" s="105">
        <f t="shared" si="431"/>
        <v>4</v>
      </c>
      <c r="U234" s="105">
        <f t="shared" si="431"/>
        <v>13</v>
      </c>
      <c r="V234" s="106">
        <f>IFERROR(I234/J234,0)</f>
        <v>0.34615384615384615</v>
      </c>
      <c r="W234" s="106">
        <f>IFERROR(O234/(2*(J234+0.44*L234)), 0)</f>
        <v>0.40153631284916202</v>
      </c>
      <c r="X234" s="106">
        <f>IFERROR(K234/L234,0)</f>
        <v>0.5</v>
      </c>
      <c r="Y234" s="106">
        <f>IFERROR(E234/F234,0)</f>
        <v>0.35897435897435898</v>
      </c>
      <c r="Z234" s="106">
        <f t="shared" si="425"/>
        <v>0.30769230769230771</v>
      </c>
      <c r="AA234" s="107">
        <f>IFERROR(AVERAGE(AA228:AA233),0)</f>
        <v>5.0666666666666664</v>
      </c>
      <c r="AB234" s="46" t="str">
        <f>AB232</f>
        <v>REG</v>
      </c>
    </row>
    <row r="235" spans="1:28" ht="39.950000000000003" customHeight="1" x14ac:dyDescent="0.55000000000000004">
      <c r="A235" s="44" t="s">
        <v>33</v>
      </c>
      <c r="B235" s="44">
        <f t="shared" ref="B235:C235" si="432">B234</f>
        <v>3</v>
      </c>
      <c r="C235" s="44">
        <f t="shared" si="432"/>
        <v>2</v>
      </c>
      <c r="D235" s="158" t="s">
        <v>71</v>
      </c>
      <c r="E235" s="83"/>
      <c r="F235" s="83"/>
      <c r="G235" s="83"/>
      <c r="H235" s="83"/>
      <c r="I235" s="83"/>
      <c r="J235" s="83"/>
      <c r="K235" s="83"/>
      <c r="L235" s="83"/>
      <c r="M235" s="83"/>
      <c r="N235" s="83"/>
      <c r="O235" s="83">
        <v>39</v>
      </c>
      <c r="P235" s="83"/>
      <c r="Q235" s="83"/>
      <c r="R235" s="83"/>
      <c r="S235" s="83"/>
      <c r="T235" s="83"/>
      <c r="U235" s="83"/>
      <c r="V235" s="83"/>
      <c r="W235" s="83"/>
      <c r="X235" s="83"/>
      <c r="Y235" s="83"/>
      <c r="Z235" s="83"/>
      <c r="AA235" s="83"/>
      <c r="AB235" s="46" t="str">
        <f>AB234</f>
        <v>REG</v>
      </c>
    </row>
    <row r="236" spans="1:28" ht="39.950000000000003" customHeight="1" x14ac:dyDescent="0.5">
      <c r="A236" s="44" t="str">
        <f>D242</f>
        <v>Disciples</v>
      </c>
      <c r="B236" s="44">
        <v>3</v>
      </c>
      <c r="C236" s="44">
        <v>3</v>
      </c>
      <c r="D236" s="86" t="s">
        <v>65</v>
      </c>
      <c r="E236" s="87">
        <v>4</v>
      </c>
      <c r="F236" s="87">
        <v>5</v>
      </c>
      <c r="G236" s="87">
        <v>0</v>
      </c>
      <c r="H236" s="87">
        <v>0</v>
      </c>
      <c r="I236" s="87">
        <f>E236+G236</f>
        <v>4</v>
      </c>
      <c r="J236" s="87">
        <f>F236+H236</f>
        <v>5</v>
      </c>
      <c r="K236" s="87">
        <v>0</v>
      </c>
      <c r="L236" s="87">
        <v>0</v>
      </c>
      <c r="M236" s="87">
        <v>3</v>
      </c>
      <c r="N236" s="87">
        <v>8</v>
      </c>
      <c r="O236" s="87">
        <f>E236*2+G236*3+K236</f>
        <v>8</v>
      </c>
      <c r="P236" s="87">
        <f>M236+N236</f>
        <v>11</v>
      </c>
      <c r="Q236" s="87">
        <v>2</v>
      </c>
      <c r="R236" s="87">
        <v>0</v>
      </c>
      <c r="S236" s="87">
        <v>2</v>
      </c>
      <c r="T236" s="87">
        <v>1</v>
      </c>
      <c r="U236" s="87">
        <v>4</v>
      </c>
      <c r="V236" s="88">
        <f>IFERROR(I236/J236,0)</f>
        <v>0.8</v>
      </c>
      <c r="W236" s="88">
        <f>IFERROR(O236/(2*(J236+0.44*L236)), 0)</f>
        <v>0.8</v>
      </c>
      <c r="X236" s="88">
        <f>IFERROR(K236/L236,0)</f>
        <v>0</v>
      </c>
      <c r="Y236" s="88">
        <f>IFERROR(E236/F236,0)</f>
        <v>0.8</v>
      </c>
      <c r="Z236" s="88">
        <f>IFERROR(G236/H236,0)</f>
        <v>0</v>
      </c>
      <c r="AA236" s="89">
        <f>(O236)+(0.4*I236)-(0.7*J236)-(0.4*(L236-K236))+(0.7*M236)+(0.3*N236)+S236+(0.7*Q236)+(0.7*R236)-(0.4*U236)-T236</f>
        <v>11.4</v>
      </c>
      <c r="AB236" s="167" t="s">
        <v>27</v>
      </c>
    </row>
    <row r="237" spans="1:28" ht="39.950000000000003" customHeight="1" x14ac:dyDescent="0.5">
      <c r="A237" s="44" t="str">
        <f>A236</f>
        <v>Disciples</v>
      </c>
      <c r="B237" s="44">
        <v>3</v>
      </c>
      <c r="C237" s="44">
        <f>C236</f>
        <v>3</v>
      </c>
      <c r="D237" s="86" t="s">
        <v>28</v>
      </c>
      <c r="E237" s="90">
        <v>8</v>
      </c>
      <c r="F237" s="90">
        <v>17</v>
      </c>
      <c r="G237" s="90">
        <v>5</v>
      </c>
      <c r="H237" s="90">
        <v>13</v>
      </c>
      <c r="I237" s="90">
        <f t="shared" ref="I237:J241" si="433">E237+G237</f>
        <v>13</v>
      </c>
      <c r="J237" s="90">
        <f t="shared" si="433"/>
        <v>30</v>
      </c>
      <c r="K237" s="90">
        <v>4</v>
      </c>
      <c r="L237" s="90">
        <v>4</v>
      </c>
      <c r="M237" s="90">
        <v>3</v>
      </c>
      <c r="N237" s="90">
        <v>7</v>
      </c>
      <c r="O237" s="90">
        <f t="shared" ref="O237:O240" si="434">E237*2+G237*3+K237</f>
        <v>35</v>
      </c>
      <c r="P237" s="90">
        <f t="shared" ref="P237:P240" si="435">M237+N237</f>
        <v>10</v>
      </c>
      <c r="Q237" s="90">
        <v>2</v>
      </c>
      <c r="R237" s="90">
        <v>0</v>
      </c>
      <c r="S237" s="90">
        <v>1</v>
      </c>
      <c r="T237" s="90">
        <v>3</v>
      </c>
      <c r="U237" s="90">
        <v>1</v>
      </c>
      <c r="V237" s="91">
        <f t="shared" ref="V237:V240" si="436">IFERROR(I237/J237,0)</f>
        <v>0.43333333333333335</v>
      </c>
      <c r="W237" s="91">
        <f t="shared" ref="W237:W240" si="437">IFERROR(O237/(2*(J237+0.44*L237)), 0)</f>
        <v>0.55100755667506296</v>
      </c>
      <c r="X237" s="91">
        <f t="shared" ref="X237:X240" si="438">IFERROR(K237/L237,0)</f>
        <v>1</v>
      </c>
      <c r="Y237" s="91">
        <f t="shared" ref="Y237:Y240" si="439">IFERROR(E237/F237,0)</f>
        <v>0.47058823529411764</v>
      </c>
      <c r="Z237" s="91">
        <f t="shared" ref="Z237:Z241" si="440">IFERROR(G237/H237,0)</f>
        <v>0.38461538461538464</v>
      </c>
      <c r="AA237" s="92">
        <f t="shared" ref="AA237:AA240" si="441">(O237)+(0.4*I237)-(0.7*J237)-(0.4*(L237-K237))+(0.7*M237)+(0.3*N237)+S237+(0.7*Q237)+(0.7*R237)-(0.4*U237)-T237</f>
        <v>22.400000000000006</v>
      </c>
      <c r="AB237" s="168" t="str">
        <f>AB236</f>
        <v>REG</v>
      </c>
    </row>
    <row r="238" spans="1:28" ht="39.950000000000003" customHeight="1" x14ac:dyDescent="0.5">
      <c r="A238" s="44" t="str">
        <f t="shared" ref="A238:C240" si="442">A237</f>
        <v>Disciples</v>
      </c>
      <c r="B238" s="44">
        <f t="shared" si="442"/>
        <v>3</v>
      </c>
      <c r="C238" s="44">
        <f t="shared" si="442"/>
        <v>3</v>
      </c>
      <c r="D238" s="86" t="s">
        <v>74</v>
      </c>
      <c r="E238" s="93">
        <v>0</v>
      </c>
      <c r="F238" s="93">
        <v>0</v>
      </c>
      <c r="G238" s="93">
        <v>0</v>
      </c>
      <c r="H238" s="93">
        <v>0</v>
      </c>
      <c r="I238" s="93">
        <f t="shared" si="433"/>
        <v>0</v>
      </c>
      <c r="J238" s="93">
        <f t="shared" si="433"/>
        <v>0</v>
      </c>
      <c r="K238" s="93">
        <v>0</v>
      </c>
      <c r="L238" s="93">
        <v>0</v>
      </c>
      <c r="M238" s="93">
        <v>1</v>
      </c>
      <c r="N238" s="93">
        <v>1</v>
      </c>
      <c r="O238" s="93">
        <f t="shared" si="434"/>
        <v>0</v>
      </c>
      <c r="P238" s="93">
        <f t="shared" si="435"/>
        <v>2</v>
      </c>
      <c r="Q238" s="93">
        <v>2</v>
      </c>
      <c r="R238" s="93">
        <v>0</v>
      </c>
      <c r="S238" s="93">
        <v>0</v>
      </c>
      <c r="T238" s="93">
        <v>0</v>
      </c>
      <c r="U238" s="93">
        <v>4</v>
      </c>
      <c r="V238" s="94">
        <f t="shared" si="436"/>
        <v>0</v>
      </c>
      <c r="W238" s="94">
        <f t="shared" si="437"/>
        <v>0</v>
      </c>
      <c r="X238" s="94">
        <f t="shared" si="438"/>
        <v>0</v>
      </c>
      <c r="Y238" s="94">
        <f t="shared" si="439"/>
        <v>0</v>
      </c>
      <c r="Z238" s="94">
        <f t="shared" si="440"/>
        <v>0</v>
      </c>
      <c r="AA238" s="95">
        <f t="shared" si="441"/>
        <v>0.79999999999999982</v>
      </c>
      <c r="AB238" s="46" t="str">
        <f t="shared" ref="AB238:AB242" si="443">AB237</f>
        <v>REG</v>
      </c>
    </row>
    <row r="239" spans="1:28" ht="39.950000000000003" customHeight="1" x14ac:dyDescent="0.5">
      <c r="A239" s="44" t="str">
        <f t="shared" si="442"/>
        <v>Disciples</v>
      </c>
      <c r="B239" s="44">
        <f t="shared" si="442"/>
        <v>3</v>
      </c>
      <c r="C239" s="44">
        <f t="shared" si="442"/>
        <v>3</v>
      </c>
      <c r="D239" s="86" t="s">
        <v>45</v>
      </c>
      <c r="E239" s="99">
        <v>8</v>
      </c>
      <c r="F239" s="99">
        <v>18</v>
      </c>
      <c r="G239" s="99">
        <v>0</v>
      </c>
      <c r="H239" s="99">
        <v>2</v>
      </c>
      <c r="I239" s="99">
        <f t="shared" si="433"/>
        <v>8</v>
      </c>
      <c r="J239" s="99">
        <f t="shared" si="433"/>
        <v>20</v>
      </c>
      <c r="K239" s="99">
        <v>3</v>
      </c>
      <c r="L239" s="99">
        <v>7</v>
      </c>
      <c r="M239" s="99">
        <v>2</v>
      </c>
      <c r="N239" s="99">
        <v>2</v>
      </c>
      <c r="O239" s="99">
        <f t="shared" si="434"/>
        <v>19</v>
      </c>
      <c r="P239" s="99">
        <f t="shared" si="435"/>
        <v>4</v>
      </c>
      <c r="Q239" s="99">
        <v>2</v>
      </c>
      <c r="R239" s="99">
        <v>0</v>
      </c>
      <c r="S239" s="99">
        <v>1</v>
      </c>
      <c r="T239" s="99">
        <v>0</v>
      </c>
      <c r="U239" s="99">
        <v>3</v>
      </c>
      <c r="V239" s="100">
        <f t="shared" si="436"/>
        <v>0.4</v>
      </c>
      <c r="W239" s="100">
        <f t="shared" si="437"/>
        <v>0.41161178509532065</v>
      </c>
      <c r="X239" s="100">
        <f t="shared" si="438"/>
        <v>0.42857142857142855</v>
      </c>
      <c r="Y239" s="100">
        <f t="shared" si="439"/>
        <v>0.44444444444444442</v>
      </c>
      <c r="Z239" s="100">
        <f t="shared" si="440"/>
        <v>0</v>
      </c>
      <c r="AA239" s="101">
        <f>(O239)+(0.4*I239)-(0.7*J239)-(0.4*(L239-K239))+(0.7*M239)+(0.3*N239)+S239+(0.7*Q239)+(0.7*R239)-(0.4*U239)-T239</f>
        <v>9.8000000000000007</v>
      </c>
      <c r="AB239" s="46" t="str">
        <f t="shared" si="443"/>
        <v>REG</v>
      </c>
    </row>
    <row r="240" spans="1:28" ht="39.950000000000003" customHeight="1" x14ac:dyDescent="0.5">
      <c r="A240" s="44" t="str">
        <f t="shared" si="442"/>
        <v>Disciples</v>
      </c>
      <c r="B240" s="44">
        <f t="shared" si="442"/>
        <v>3</v>
      </c>
      <c r="C240" s="44">
        <f t="shared" si="442"/>
        <v>3</v>
      </c>
      <c r="D240" s="86" t="s">
        <v>41</v>
      </c>
      <c r="E240" s="163">
        <v>0</v>
      </c>
      <c r="F240" s="163">
        <v>1</v>
      </c>
      <c r="G240" s="163">
        <v>0</v>
      </c>
      <c r="H240" s="163">
        <v>1</v>
      </c>
      <c r="I240" s="163">
        <f t="shared" si="433"/>
        <v>0</v>
      </c>
      <c r="J240" s="163">
        <f t="shared" si="433"/>
        <v>2</v>
      </c>
      <c r="K240" s="163">
        <v>0</v>
      </c>
      <c r="L240" s="163">
        <v>0</v>
      </c>
      <c r="M240" s="163">
        <v>0</v>
      </c>
      <c r="N240" s="163">
        <v>1</v>
      </c>
      <c r="O240" s="163">
        <f t="shared" si="434"/>
        <v>0</v>
      </c>
      <c r="P240" s="163">
        <f t="shared" si="435"/>
        <v>1</v>
      </c>
      <c r="Q240" s="163">
        <v>2</v>
      </c>
      <c r="R240" s="163">
        <v>0</v>
      </c>
      <c r="S240" s="163">
        <v>0</v>
      </c>
      <c r="T240" s="163">
        <v>1</v>
      </c>
      <c r="U240" s="163">
        <v>1</v>
      </c>
      <c r="V240" s="164">
        <f t="shared" si="436"/>
        <v>0</v>
      </c>
      <c r="W240" s="164">
        <f t="shared" si="437"/>
        <v>0</v>
      </c>
      <c r="X240" s="164">
        <f t="shared" si="438"/>
        <v>0</v>
      </c>
      <c r="Y240" s="164">
        <f t="shared" si="439"/>
        <v>0</v>
      </c>
      <c r="Z240" s="164">
        <f t="shared" si="440"/>
        <v>0</v>
      </c>
      <c r="AA240" s="165">
        <f t="shared" si="441"/>
        <v>-1.1000000000000001</v>
      </c>
      <c r="AB240" s="46" t="str">
        <f t="shared" si="443"/>
        <v>REG</v>
      </c>
    </row>
    <row r="241" spans="1:28" ht="39.950000000000003" customHeight="1" x14ac:dyDescent="0.5">
      <c r="A241" s="44" t="str">
        <f>A239</f>
        <v>Disciples</v>
      </c>
      <c r="B241" s="44">
        <f>B239</f>
        <v>3</v>
      </c>
      <c r="C241" s="44">
        <f>C239</f>
        <v>3</v>
      </c>
      <c r="D241" s="86" t="s">
        <v>32</v>
      </c>
      <c r="E241" s="105">
        <f>SUM(E236:E240)</f>
        <v>20</v>
      </c>
      <c r="F241" s="105">
        <f>SUM(F236:F240)</f>
        <v>41</v>
      </c>
      <c r="G241" s="105">
        <f>SUM(G236:G240)</f>
        <v>5</v>
      </c>
      <c r="H241" s="105">
        <f>SUM(H236:H240)</f>
        <v>16</v>
      </c>
      <c r="I241" s="105">
        <f t="shared" si="433"/>
        <v>25</v>
      </c>
      <c r="J241" s="105">
        <f t="shared" si="433"/>
        <v>57</v>
      </c>
      <c r="K241" s="105">
        <f t="shared" ref="K241:U241" si="444">SUM(K236:K240)</f>
        <v>7</v>
      </c>
      <c r="L241" s="105">
        <f t="shared" si="444"/>
        <v>11</v>
      </c>
      <c r="M241" s="105">
        <f t="shared" si="444"/>
        <v>9</v>
      </c>
      <c r="N241" s="105">
        <f t="shared" si="444"/>
        <v>19</v>
      </c>
      <c r="O241" s="105">
        <f t="shared" si="444"/>
        <v>62</v>
      </c>
      <c r="P241" s="105">
        <f t="shared" si="444"/>
        <v>28</v>
      </c>
      <c r="Q241" s="105">
        <f t="shared" si="444"/>
        <v>10</v>
      </c>
      <c r="R241" s="105">
        <f t="shared" si="444"/>
        <v>0</v>
      </c>
      <c r="S241" s="105">
        <f t="shared" si="444"/>
        <v>4</v>
      </c>
      <c r="T241" s="105">
        <f t="shared" si="444"/>
        <v>5</v>
      </c>
      <c r="U241" s="105">
        <f t="shared" si="444"/>
        <v>13</v>
      </c>
      <c r="V241" s="106">
        <f>IFERROR(I241/J241,0)</f>
        <v>0.43859649122807015</v>
      </c>
      <c r="W241" s="106">
        <f>IFERROR(O241/(2*(J241+0.44*L241)), 0)</f>
        <v>0.50129366106080209</v>
      </c>
      <c r="X241" s="106">
        <f>IFERROR(K241/L241,0)</f>
        <v>0.63636363636363635</v>
      </c>
      <c r="Y241" s="106">
        <f>IFERROR(E241/F241,0)</f>
        <v>0.48780487804878048</v>
      </c>
      <c r="Z241" s="106">
        <f t="shared" si="440"/>
        <v>0.3125</v>
      </c>
      <c r="AA241" s="107">
        <f>IFERROR(AVERAGE(AA236:AA240),0)</f>
        <v>8.66</v>
      </c>
      <c r="AB241" s="46" t="str">
        <f t="shared" si="443"/>
        <v>REG</v>
      </c>
    </row>
    <row r="242" spans="1:28" ht="39.950000000000003" customHeight="1" x14ac:dyDescent="0.55000000000000004">
      <c r="A242" s="44" t="s">
        <v>33</v>
      </c>
      <c r="B242" s="44">
        <f t="shared" ref="B242:C242" si="445">B241</f>
        <v>3</v>
      </c>
      <c r="C242" s="44">
        <f t="shared" si="445"/>
        <v>3</v>
      </c>
      <c r="D242" s="158" t="s">
        <v>75</v>
      </c>
      <c r="E242" s="83"/>
      <c r="F242" s="83"/>
      <c r="G242" s="83"/>
      <c r="H242" s="83"/>
      <c r="I242" s="83"/>
      <c r="J242" s="83"/>
      <c r="K242" s="83"/>
      <c r="L242" s="83"/>
      <c r="M242" s="83"/>
      <c r="N242" s="83"/>
      <c r="O242" s="83">
        <v>49</v>
      </c>
      <c r="P242" s="83"/>
      <c r="Q242" s="83"/>
      <c r="R242" s="83"/>
      <c r="S242" s="83"/>
      <c r="T242" s="83"/>
      <c r="U242" s="83"/>
      <c r="V242" s="83"/>
      <c r="W242" s="83"/>
      <c r="X242" s="83"/>
      <c r="Y242" s="83"/>
      <c r="Z242" s="83"/>
      <c r="AA242" s="83"/>
      <c r="AB242" s="46" t="str">
        <f t="shared" si="443"/>
        <v>REG</v>
      </c>
    </row>
    <row r="243" spans="1:28" ht="39.950000000000003" customHeight="1" x14ac:dyDescent="0.5">
      <c r="A243" s="44" t="str">
        <f>D249</f>
        <v>Konoha</v>
      </c>
      <c r="B243" s="44">
        <v>3</v>
      </c>
      <c r="C243" s="44">
        <v>4</v>
      </c>
      <c r="D243" s="86" t="s">
        <v>65</v>
      </c>
      <c r="E243" s="87">
        <v>8</v>
      </c>
      <c r="F243" s="87">
        <v>10</v>
      </c>
      <c r="G243" s="87">
        <v>0</v>
      </c>
      <c r="H243" s="87">
        <v>3</v>
      </c>
      <c r="I243" s="87">
        <f>E243+G243</f>
        <v>8</v>
      </c>
      <c r="J243" s="87">
        <f>F243+H243</f>
        <v>13</v>
      </c>
      <c r="K243" s="87">
        <v>0</v>
      </c>
      <c r="L243" s="87">
        <v>0</v>
      </c>
      <c r="M243" s="87">
        <v>3</v>
      </c>
      <c r="N243" s="87">
        <v>14</v>
      </c>
      <c r="O243" s="87">
        <f>E243*2+G243*3+K243</f>
        <v>16</v>
      </c>
      <c r="P243" s="87">
        <f>M243+N243</f>
        <v>17</v>
      </c>
      <c r="Q243" s="87">
        <v>8</v>
      </c>
      <c r="R243" s="87">
        <v>1</v>
      </c>
      <c r="S243" s="87">
        <v>7</v>
      </c>
      <c r="T243" s="87">
        <v>3</v>
      </c>
      <c r="U243" s="87">
        <v>2</v>
      </c>
      <c r="V243" s="88">
        <f>IFERROR(I243/J243,0)</f>
        <v>0.61538461538461542</v>
      </c>
      <c r="W243" s="88">
        <f>IFERROR(O243/(2*(J243+0.44*L243)), 0)</f>
        <v>0.61538461538461542</v>
      </c>
      <c r="X243" s="88">
        <f>IFERROR(K243/L243,0)</f>
        <v>0</v>
      </c>
      <c r="Y243" s="88">
        <f>IFERROR(E243/F243,0)</f>
        <v>0.8</v>
      </c>
      <c r="Z243" s="88">
        <f>IFERROR(G243/H243,0)</f>
        <v>0</v>
      </c>
      <c r="AA243" s="89">
        <f>(O243)+(0.4*I243)-(0.7*J243)-(0.4*(L243-K243))+(0.7*M243)+(0.3*N243)+S243+(0.7*Q243)+(0.7*R243)-(0.4*U243)-T243</f>
        <v>25.9</v>
      </c>
      <c r="AB243" s="167" t="s">
        <v>27</v>
      </c>
    </row>
    <row r="244" spans="1:28" ht="39.950000000000003" customHeight="1" x14ac:dyDescent="0.5">
      <c r="A244" s="44" t="str">
        <f>A243</f>
        <v>Konoha</v>
      </c>
      <c r="B244" s="44">
        <v>3</v>
      </c>
      <c r="C244" s="44">
        <f>C243</f>
        <v>4</v>
      </c>
      <c r="D244" s="86" t="s">
        <v>28</v>
      </c>
      <c r="E244" s="90">
        <v>5</v>
      </c>
      <c r="F244" s="90">
        <v>6</v>
      </c>
      <c r="G244" s="90">
        <v>2</v>
      </c>
      <c r="H244" s="90">
        <v>5</v>
      </c>
      <c r="I244" s="90">
        <f t="shared" ref="I244:J248" si="446">E244+G244</f>
        <v>7</v>
      </c>
      <c r="J244" s="90">
        <f t="shared" si="446"/>
        <v>11</v>
      </c>
      <c r="K244" s="90">
        <v>1</v>
      </c>
      <c r="L244" s="90">
        <v>1</v>
      </c>
      <c r="M244" s="90">
        <v>1</v>
      </c>
      <c r="N244" s="90">
        <v>6</v>
      </c>
      <c r="O244" s="90">
        <f t="shared" ref="O244:O247" si="447">E244*2+G244*3+K244</f>
        <v>17</v>
      </c>
      <c r="P244" s="90">
        <f t="shared" ref="P244:P247" si="448">M244+N244</f>
        <v>7</v>
      </c>
      <c r="Q244" s="90">
        <v>3</v>
      </c>
      <c r="R244" s="90">
        <v>0</v>
      </c>
      <c r="S244" s="90">
        <v>4</v>
      </c>
      <c r="T244" s="90">
        <v>1</v>
      </c>
      <c r="U244" s="90">
        <v>0</v>
      </c>
      <c r="V244" s="91">
        <f t="shared" ref="V244:V248" si="449">IFERROR(I244/J244,0)</f>
        <v>0.63636363636363635</v>
      </c>
      <c r="W244" s="91">
        <f t="shared" ref="W244:W247" si="450">IFERROR(O244/(2*(J244+0.44*L244)), 0)</f>
        <v>0.74300699300699302</v>
      </c>
      <c r="X244" s="91">
        <f t="shared" ref="X244:X247" si="451">IFERROR(K244/L244,0)</f>
        <v>1</v>
      </c>
      <c r="Y244" s="91">
        <f t="shared" ref="Y244:Y247" si="452">IFERROR(E244/F244,0)</f>
        <v>0.83333333333333337</v>
      </c>
      <c r="Z244" s="91">
        <f t="shared" ref="Z244:Z248" si="453">IFERROR(G244/H244,0)</f>
        <v>0.4</v>
      </c>
      <c r="AA244" s="92">
        <f t="shared" ref="AA244:AA247" si="454">(O244)+(0.4*I244)-(0.7*J244)-(0.4*(L244-K244))+(0.7*M244)+(0.3*N244)+S244+(0.7*Q244)+(0.7*R244)-(0.4*U244)-T244</f>
        <v>19.700000000000003</v>
      </c>
      <c r="AB244" s="168" t="str">
        <f>AB243</f>
        <v>REG</v>
      </c>
    </row>
    <row r="245" spans="1:28" ht="39.950000000000003" customHeight="1" x14ac:dyDescent="0.5">
      <c r="A245" s="44" t="str">
        <f t="shared" ref="A245:C246" si="455">A244</f>
        <v>Konoha</v>
      </c>
      <c r="B245" s="44">
        <f t="shared" si="455"/>
        <v>3</v>
      </c>
      <c r="C245" s="44">
        <f t="shared" si="455"/>
        <v>4</v>
      </c>
      <c r="D245" s="86" t="s">
        <v>29</v>
      </c>
      <c r="E245" s="93">
        <v>0</v>
      </c>
      <c r="F245" s="93">
        <v>1</v>
      </c>
      <c r="G245" s="93">
        <v>2</v>
      </c>
      <c r="H245" s="93">
        <v>4</v>
      </c>
      <c r="I245" s="93">
        <f t="shared" si="446"/>
        <v>2</v>
      </c>
      <c r="J245" s="93">
        <f t="shared" si="446"/>
        <v>5</v>
      </c>
      <c r="K245" s="93">
        <v>0</v>
      </c>
      <c r="L245" s="93">
        <v>0</v>
      </c>
      <c r="M245" s="93">
        <v>2</v>
      </c>
      <c r="N245" s="93">
        <v>5</v>
      </c>
      <c r="O245" s="93">
        <f t="shared" si="447"/>
        <v>6</v>
      </c>
      <c r="P245" s="93">
        <f t="shared" si="448"/>
        <v>7</v>
      </c>
      <c r="Q245" s="93">
        <v>6</v>
      </c>
      <c r="R245" s="93">
        <v>0</v>
      </c>
      <c r="S245" s="93">
        <v>2</v>
      </c>
      <c r="T245" s="93">
        <v>1</v>
      </c>
      <c r="U245" s="93">
        <v>1</v>
      </c>
      <c r="V245" s="94">
        <f t="shared" si="449"/>
        <v>0.4</v>
      </c>
      <c r="W245" s="94">
        <f>IFERROR(O245/(2*(J245+0.44*L245)), 0)</f>
        <v>0.6</v>
      </c>
      <c r="X245" s="94">
        <f t="shared" si="451"/>
        <v>0</v>
      </c>
      <c r="Y245" s="94">
        <f t="shared" si="452"/>
        <v>0</v>
      </c>
      <c r="Z245" s="94">
        <f t="shared" si="453"/>
        <v>0.5</v>
      </c>
      <c r="AA245" s="95">
        <f t="shared" si="454"/>
        <v>10.999999999999998</v>
      </c>
      <c r="AB245" s="46" t="str">
        <f t="shared" ref="AB245:AB246" si="456">AB244</f>
        <v>REG</v>
      </c>
    </row>
    <row r="246" spans="1:28" ht="39.950000000000003" customHeight="1" x14ac:dyDescent="0.5">
      <c r="A246" s="44" t="str">
        <f t="shared" si="455"/>
        <v>Konoha</v>
      </c>
      <c r="B246" s="44">
        <f t="shared" si="455"/>
        <v>3</v>
      </c>
      <c r="C246" s="44">
        <f t="shared" si="455"/>
        <v>4</v>
      </c>
      <c r="D246" s="86" t="s">
        <v>45</v>
      </c>
      <c r="E246" s="99">
        <v>27</v>
      </c>
      <c r="F246" s="99">
        <v>40</v>
      </c>
      <c r="G246" s="99">
        <v>1</v>
      </c>
      <c r="H246" s="99">
        <v>3</v>
      </c>
      <c r="I246" s="99">
        <f t="shared" si="446"/>
        <v>28</v>
      </c>
      <c r="J246" s="99">
        <f t="shared" si="446"/>
        <v>43</v>
      </c>
      <c r="K246" s="99">
        <v>6</v>
      </c>
      <c r="L246" s="99">
        <v>9</v>
      </c>
      <c r="M246" s="99">
        <v>6</v>
      </c>
      <c r="N246" s="99">
        <v>5</v>
      </c>
      <c r="O246" s="99">
        <f t="shared" si="447"/>
        <v>63</v>
      </c>
      <c r="P246" s="99">
        <f t="shared" si="448"/>
        <v>11</v>
      </c>
      <c r="Q246" s="99">
        <v>3</v>
      </c>
      <c r="R246" s="99">
        <v>1</v>
      </c>
      <c r="S246" s="99">
        <v>0</v>
      </c>
      <c r="T246" s="99">
        <v>0</v>
      </c>
      <c r="U246" s="99">
        <v>0</v>
      </c>
      <c r="V246" s="100">
        <f t="shared" si="449"/>
        <v>0.65116279069767447</v>
      </c>
      <c r="W246" s="100">
        <f>IFERROR(O246/(2*(J246+0.44*L246)), 0)</f>
        <v>0.67078364565587734</v>
      </c>
      <c r="X246" s="100">
        <f t="shared" si="451"/>
        <v>0.66666666666666663</v>
      </c>
      <c r="Y246" s="100">
        <f t="shared" si="452"/>
        <v>0.67500000000000004</v>
      </c>
      <c r="Z246" s="100">
        <f t="shared" si="453"/>
        <v>0.33333333333333331</v>
      </c>
      <c r="AA246" s="101">
        <f t="shared" si="454"/>
        <v>51.400000000000013</v>
      </c>
      <c r="AB246" s="46" t="str">
        <f t="shared" si="456"/>
        <v>REG</v>
      </c>
    </row>
    <row r="247" spans="1:28" ht="39.950000000000003" customHeight="1" x14ac:dyDescent="0.5">
      <c r="A247" s="44" t="str">
        <f t="shared" ref="A247:C247" si="457">A245</f>
        <v>Konoha</v>
      </c>
      <c r="B247" s="44">
        <f t="shared" si="457"/>
        <v>3</v>
      </c>
      <c r="C247" s="44">
        <f t="shared" si="457"/>
        <v>4</v>
      </c>
      <c r="D247" s="86" t="s">
        <v>76</v>
      </c>
      <c r="E247" s="102">
        <v>0</v>
      </c>
      <c r="F247" s="102">
        <v>0</v>
      </c>
      <c r="G247" s="102">
        <v>0</v>
      </c>
      <c r="H247" s="102">
        <v>2</v>
      </c>
      <c r="I247" s="102">
        <f t="shared" si="446"/>
        <v>0</v>
      </c>
      <c r="J247" s="102">
        <f t="shared" si="446"/>
        <v>2</v>
      </c>
      <c r="K247" s="102">
        <v>0</v>
      </c>
      <c r="L247" s="102">
        <v>0</v>
      </c>
      <c r="M247" s="102">
        <v>0</v>
      </c>
      <c r="N247" s="102">
        <v>4</v>
      </c>
      <c r="O247" s="102">
        <f t="shared" si="447"/>
        <v>0</v>
      </c>
      <c r="P247" s="102">
        <f t="shared" si="448"/>
        <v>4</v>
      </c>
      <c r="Q247" s="102">
        <v>10</v>
      </c>
      <c r="R247" s="102">
        <v>0</v>
      </c>
      <c r="S247" s="102">
        <v>2</v>
      </c>
      <c r="T247" s="102">
        <v>0</v>
      </c>
      <c r="U247" s="102">
        <v>0</v>
      </c>
      <c r="V247" s="103">
        <f t="shared" si="449"/>
        <v>0</v>
      </c>
      <c r="W247" s="103">
        <f t="shared" si="450"/>
        <v>0</v>
      </c>
      <c r="X247" s="103">
        <f t="shared" si="451"/>
        <v>0</v>
      </c>
      <c r="Y247" s="103">
        <f t="shared" si="452"/>
        <v>0</v>
      </c>
      <c r="Z247" s="103">
        <f t="shared" si="453"/>
        <v>0</v>
      </c>
      <c r="AA247" s="104">
        <f t="shared" si="454"/>
        <v>8.8000000000000007</v>
      </c>
      <c r="AB247" s="46" t="str">
        <f>AB246</f>
        <v>REG</v>
      </c>
    </row>
    <row r="248" spans="1:28" ht="39.950000000000003" customHeight="1" x14ac:dyDescent="0.5">
      <c r="A248" s="44" t="str">
        <f>A246</f>
        <v>Konoha</v>
      </c>
      <c r="B248" s="44">
        <f>B246</f>
        <v>3</v>
      </c>
      <c r="C248" s="44">
        <f>C246</f>
        <v>4</v>
      </c>
      <c r="D248" s="86" t="s">
        <v>32</v>
      </c>
      <c r="E248" s="105">
        <f>SUM(E243:E247)</f>
        <v>40</v>
      </c>
      <c r="F248" s="105">
        <f>SUM(F243:F247)</f>
        <v>57</v>
      </c>
      <c r="G248" s="105">
        <f>SUM(G243:G247)</f>
        <v>5</v>
      </c>
      <c r="H248" s="105">
        <f>SUM(H243:H247)</f>
        <v>17</v>
      </c>
      <c r="I248" s="105">
        <f>SUM(I243:I247)</f>
        <v>45</v>
      </c>
      <c r="J248" s="105">
        <f t="shared" si="446"/>
        <v>74</v>
      </c>
      <c r="K248" s="105">
        <f t="shared" ref="K248:U248" si="458">SUM(K243:K247)</f>
        <v>7</v>
      </c>
      <c r="L248" s="105">
        <f t="shared" si="458"/>
        <v>10</v>
      </c>
      <c r="M248" s="105">
        <f t="shared" si="458"/>
        <v>12</v>
      </c>
      <c r="N248" s="105">
        <f t="shared" si="458"/>
        <v>34</v>
      </c>
      <c r="O248" s="105">
        <f t="shared" si="458"/>
        <v>102</v>
      </c>
      <c r="P248" s="105">
        <f t="shared" si="458"/>
        <v>46</v>
      </c>
      <c r="Q248" s="105">
        <f t="shared" si="458"/>
        <v>30</v>
      </c>
      <c r="R248" s="105">
        <f t="shared" si="458"/>
        <v>2</v>
      </c>
      <c r="S248" s="105">
        <f t="shared" si="458"/>
        <v>15</v>
      </c>
      <c r="T248" s="105">
        <f t="shared" si="458"/>
        <v>5</v>
      </c>
      <c r="U248" s="105">
        <f t="shared" si="458"/>
        <v>3</v>
      </c>
      <c r="V248" s="106">
        <f t="shared" si="449"/>
        <v>0.60810810810810811</v>
      </c>
      <c r="W248" s="106">
        <f>IFERROR(O248/(2*(J248+0.44*L248)), 0)</f>
        <v>0.65051020408163263</v>
      </c>
      <c r="X248" s="106">
        <f>IFERROR(K248/L248,0)</f>
        <v>0.7</v>
      </c>
      <c r="Y248" s="106">
        <f>IFERROR(E248/F248,0)</f>
        <v>0.70175438596491224</v>
      </c>
      <c r="Z248" s="106">
        <f t="shared" si="453"/>
        <v>0.29411764705882354</v>
      </c>
      <c r="AA248" s="107">
        <f>IFERROR(AVERAGE(AA243:AA247),0)</f>
        <v>23.360000000000003</v>
      </c>
      <c r="AB248" s="46" t="str">
        <f>AB247</f>
        <v>REG</v>
      </c>
    </row>
    <row r="249" spans="1:28" ht="39.950000000000003" customHeight="1" x14ac:dyDescent="0.55000000000000004">
      <c r="A249" s="44" t="s">
        <v>33</v>
      </c>
      <c r="B249" s="44">
        <f t="shared" ref="B249:C249" si="459">B248</f>
        <v>3</v>
      </c>
      <c r="C249" s="44">
        <f t="shared" si="459"/>
        <v>4</v>
      </c>
      <c r="D249" s="158" t="s">
        <v>77</v>
      </c>
      <c r="E249" s="83"/>
      <c r="F249" s="83"/>
      <c r="G249" s="83"/>
      <c r="H249" s="83"/>
      <c r="I249" s="83"/>
      <c r="J249" s="83"/>
      <c r="K249" s="83"/>
      <c r="L249" s="83"/>
      <c r="M249" s="83"/>
      <c r="N249" s="83"/>
      <c r="O249" s="83">
        <v>35</v>
      </c>
      <c r="P249" s="83"/>
      <c r="Q249" s="83"/>
      <c r="R249" s="83"/>
      <c r="S249" s="83"/>
      <c r="T249" s="83"/>
      <c r="U249" s="83"/>
      <c r="V249" s="83"/>
      <c r="W249" s="83"/>
      <c r="X249" s="83"/>
      <c r="Y249" s="83"/>
      <c r="Z249" s="83"/>
      <c r="AA249" s="83"/>
      <c r="AB249" s="46" t="str">
        <f>AB248</f>
        <v>REG</v>
      </c>
    </row>
    <row r="250" spans="1:28" ht="39.950000000000003" customHeight="1" x14ac:dyDescent="0.5">
      <c r="A250" s="44" t="str">
        <f>D256</f>
        <v>Mickeylads</v>
      </c>
      <c r="B250" s="44">
        <v>3</v>
      </c>
      <c r="C250" s="44">
        <v>5</v>
      </c>
      <c r="D250" s="86" t="s">
        <v>65</v>
      </c>
      <c r="E250" s="87">
        <v>6</v>
      </c>
      <c r="F250" s="87">
        <v>10</v>
      </c>
      <c r="G250" s="87">
        <v>0</v>
      </c>
      <c r="H250" s="87">
        <v>2</v>
      </c>
      <c r="I250" s="87">
        <f>E250+G250</f>
        <v>6</v>
      </c>
      <c r="J250" s="87">
        <f>F250+H250</f>
        <v>12</v>
      </c>
      <c r="K250" s="87">
        <v>0</v>
      </c>
      <c r="L250" s="87">
        <v>0</v>
      </c>
      <c r="M250" s="87">
        <v>1</v>
      </c>
      <c r="N250" s="87">
        <v>3</v>
      </c>
      <c r="O250" s="87">
        <f>E250*2+G250*3+K250</f>
        <v>12</v>
      </c>
      <c r="P250" s="87">
        <f>M250+N250</f>
        <v>4</v>
      </c>
      <c r="Q250" s="87">
        <v>0</v>
      </c>
      <c r="R250" s="87">
        <v>3</v>
      </c>
      <c r="S250" s="87">
        <v>3</v>
      </c>
      <c r="T250" s="87">
        <v>1</v>
      </c>
      <c r="U250" s="87">
        <v>2</v>
      </c>
      <c r="V250" s="88">
        <f>IFERROR(I250/J250,0)</f>
        <v>0.5</v>
      </c>
      <c r="W250" s="88">
        <f>IFERROR(O250/(2*(J250+0.44*L250)), 0)</f>
        <v>0.5</v>
      </c>
      <c r="X250" s="88">
        <f>IFERROR(K250/L250,0)</f>
        <v>0</v>
      </c>
      <c r="Y250" s="88">
        <f>IFERROR(E250/F250,0)</f>
        <v>0.6</v>
      </c>
      <c r="Z250" s="88">
        <f>IFERROR(G250/H250,0)</f>
        <v>0</v>
      </c>
      <c r="AA250" s="89">
        <f>(O250)+(0.4*I250)-(0.7*J250)-(0.4*(L250-K250))+(0.7*M250)+(0.3*N250)+S250+(0.7*Q250)+(0.7*R250)-(0.4*U250)-T250</f>
        <v>10.9</v>
      </c>
      <c r="AB250" s="168" t="s">
        <v>27</v>
      </c>
    </row>
    <row r="251" spans="1:28" ht="39.950000000000003" customHeight="1" x14ac:dyDescent="0.5">
      <c r="A251" s="44" t="str">
        <f>A250</f>
        <v>Mickeylads</v>
      </c>
      <c r="B251" s="44">
        <v>3</v>
      </c>
      <c r="C251" s="44">
        <f>C250</f>
        <v>5</v>
      </c>
      <c r="D251" s="86" t="s">
        <v>28</v>
      </c>
      <c r="E251" s="90">
        <v>5</v>
      </c>
      <c r="F251" s="90">
        <v>6</v>
      </c>
      <c r="G251" s="90">
        <v>1</v>
      </c>
      <c r="H251" s="90">
        <v>7</v>
      </c>
      <c r="I251" s="90">
        <f t="shared" ref="I251:J254" si="460">E251+G251</f>
        <v>6</v>
      </c>
      <c r="J251" s="90">
        <f t="shared" si="460"/>
        <v>13</v>
      </c>
      <c r="K251" s="90">
        <v>5</v>
      </c>
      <c r="L251" s="90">
        <v>6</v>
      </c>
      <c r="M251" s="90">
        <v>1</v>
      </c>
      <c r="N251" s="90">
        <v>6</v>
      </c>
      <c r="O251" s="90">
        <f t="shared" ref="O251:O254" si="461">E251*2+G251*3+K251</f>
        <v>18</v>
      </c>
      <c r="P251" s="90">
        <f t="shared" ref="P251:P254" si="462">M251+N251</f>
        <v>7</v>
      </c>
      <c r="Q251" s="90">
        <v>9</v>
      </c>
      <c r="R251" s="90">
        <v>0</v>
      </c>
      <c r="S251" s="90">
        <v>0</v>
      </c>
      <c r="T251" s="90">
        <v>1</v>
      </c>
      <c r="U251" s="90">
        <v>1</v>
      </c>
      <c r="V251" s="91">
        <f t="shared" ref="V251:V254" si="463">IFERROR(I251/J251,0)</f>
        <v>0.46153846153846156</v>
      </c>
      <c r="W251" s="91">
        <f t="shared" ref="W251:W254" si="464">IFERROR(O251/(2*(J251+0.44*L251)), 0)</f>
        <v>0.57544757033248084</v>
      </c>
      <c r="X251" s="91">
        <f t="shared" ref="X251:X254" si="465">IFERROR(K251/L251,0)</f>
        <v>0.83333333333333337</v>
      </c>
      <c r="Y251" s="91">
        <f t="shared" ref="Y251:Y254" si="466">IFERROR(E251/F251,0)</f>
        <v>0.83333333333333337</v>
      </c>
      <c r="Z251" s="91">
        <f t="shared" ref="Z251:Z255" si="467">IFERROR(G251/H251,0)</f>
        <v>0.14285714285714285</v>
      </c>
      <c r="AA251" s="92">
        <f t="shared" ref="AA251:AA254" si="468">(O251)+(0.4*I251)-(0.7*J251)-(0.4*(L251-K251))+(0.7*M251)+(0.3*N251)+S251+(0.7*Q251)+(0.7*R251)-(0.4*U251)-T251</f>
        <v>18.3</v>
      </c>
      <c r="AB251" s="168" t="str">
        <f>AB250</f>
        <v>REG</v>
      </c>
    </row>
    <row r="252" spans="1:28" ht="39.950000000000003" customHeight="1" x14ac:dyDescent="0.5">
      <c r="A252" s="44" t="str">
        <f t="shared" ref="A252:C254" si="469">A251</f>
        <v>Mickeylads</v>
      </c>
      <c r="B252" s="44">
        <f t="shared" si="469"/>
        <v>3</v>
      </c>
      <c r="C252" s="44">
        <f t="shared" si="469"/>
        <v>5</v>
      </c>
      <c r="D252" s="86" t="s">
        <v>29</v>
      </c>
      <c r="E252" s="93">
        <v>1</v>
      </c>
      <c r="F252" s="93">
        <v>2</v>
      </c>
      <c r="G252" s="93">
        <v>1</v>
      </c>
      <c r="H252" s="93">
        <v>4</v>
      </c>
      <c r="I252" s="93">
        <f t="shared" si="460"/>
        <v>2</v>
      </c>
      <c r="J252" s="93">
        <f t="shared" si="460"/>
        <v>6</v>
      </c>
      <c r="K252" s="93">
        <v>1</v>
      </c>
      <c r="L252" s="93">
        <v>2</v>
      </c>
      <c r="M252" s="93">
        <v>3</v>
      </c>
      <c r="N252" s="93">
        <v>3</v>
      </c>
      <c r="O252" s="93">
        <f t="shared" si="461"/>
        <v>6</v>
      </c>
      <c r="P252" s="93">
        <f t="shared" si="462"/>
        <v>6</v>
      </c>
      <c r="Q252" s="93">
        <v>1</v>
      </c>
      <c r="R252" s="93">
        <v>0</v>
      </c>
      <c r="S252" s="93">
        <v>1</v>
      </c>
      <c r="T252" s="93">
        <v>2</v>
      </c>
      <c r="U252" s="93">
        <v>1</v>
      </c>
      <c r="V252" s="94">
        <f t="shared" si="463"/>
        <v>0.33333333333333331</v>
      </c>
      <c r="W252" s="94">
        <f t="shared" si="464"/>
        <v>0.43604651162790697</v>
      </c>
      <c r="X252" s="94">
        <f t="shared" si="465"/>
        <v>0.5</v>
      </c>
      <c r="Y252" s="94">
        <f t="shared" si="466"/>
        <v>0.5</v>
      </c>
      <c r="Z252" s="94">
        <f t="shared" si="467"/>
        <v>0.25</v>
      </c>
      <c r="AA252" s="95">
        <f t="shared" si="468"/>
        <v>4.5000000000000009</v>
      </c>
      <c r="AB252" s="46" t="str">
        <f t="shared" ref="AB252:AB256" si="470">AB251</f>
        <v>REG</v>
      </c>
    </row>
    <row r="253" spans="1:28" ht="39.950000000000003" customHeight="1" x14ac:dyDescent="0.5">
      <c r="A253" s="44" t="str">
        <f t="shared" si="469"/>
        <v>Mickeylads</v>
      </c>
      <c r="B253" s="44">
        <f t="shared" si="469"/>
        <v>3</v>
      </c>
      <c r="C253" s="44">
        <f t="shared" si="469"/>
        <v>5</v>
      </c>
      <c r="D253" s="86" t="s">
        <v>45</v>
      </c>
      <c r="E253" s="99">
        <v>13</v>
      </c>
      <c r="F253" s="99">
        <v>22</v>
      </c>
      <c r="G253" s="99">
        <v>1</v>
      </c>
      <c r="H253" s="99">
        <v>1</v>
      </c>
      <c r="I253" s="99">
        <f t="shared" si="460"/>
        <v>14</v>
      </c>
      <c r="J253" s="99">
        <f t="shared" si="460"/>
        <v>23</v>
      </c>
      <c r="K253" s="99">
        <v>2</v>
      </c>
      <c r="L253" s="99">
        <v>5</v>
      </c>
      <c r="M253" s="99">
        <v>7</v>
      </c>
      <c r="N253" s="99">
        <v>8</v>
      </c>
      <c r="O253" s="99">
        <f t="shared" si="461"/>
        <v>31</v>
      </c>
      <c r="P253" s="99">
        <f t="shared" si="462"/>
        <v>15</v>
      </c>
      <c r="Q253" s="99">
        <v>3</v>
      </c>
      <c r="R253" s="99">
        <v>0</v>
      </c>
      <c r="S253" s="99">
        <v>1</v>
      </c>
      <c r="T253" s="99">
        <v>2</v>
      </c>
      <c r="U253" s="99">
        <v>2</v>
      </c>
      <c r="V253" s="100">
        <f t="shared" si="463"/>
        <v>0.60869565217391308</v>
      </c>
      <c r="W253" s="100">
        <f t="shared" si="464"/>
        <v>0.61507936507936511</v>
      </c>
      <c r="X253" s="100">
        <f t="shared" si="465"/>
        <v>0.4</v>
      </c>
      <c r="Y253" s="100">
        <f t="shared" si="466"/>
        <v>0.59090909090909094</v>
      </c>
      <c r="Z253" s="100">
        <f t="shared" si="467"/>
        <v>1</v>
      </c>
      <c r="AA253" s="101">
        <f t="shared" si="468"/>
        <v>26.900000000000002</v>
      </c>
      <c r="AB253" s="46" t="str">
        <f t="shared" si="470"/>
        <v>REG</v>
      </c>
    </row>
    <row r="254" spans="1:28" ht="39.950000000000003" customHeight="1" x14ac:dyDescent="0.5">
      <c r="A254" s="44" t="str">
        <f t="shared" ref="A254" si="471">A252</f>
        <v>Mickeylads</v>
      </c>
      <c r="B254" s="44">
        <f t="shared" si="469"/>
        <v>3</v>
      </c>
      <c r="C254" s="44">
        <f t="shared" si="469"/>
        <v>5</v>
      </c>
      <c r="D254" s="86" t="s">
        <v>41</v>
      </c>
      <c r="E254" s="163">
        <v>0</v>
      </c>
      <c r="F254" s="163">
        <v>0</v>
      </c>
      <c r="G254" s="163">
        <v>3</v>
      </c>
      <c r="H254" s="163">
        <v>5</v>
      </c>
      <c r="I254" s="163">
        <f t="shared" si="460"/>
        <v>3</v>
      </c>
      <c r="J254" s="163">
        <f t="shared" si="460"/>
        <v>5</v>
      </c>
      <c r="K254" s="163">
        <v>0</v>
      </c>
      <c r="L254" s="163">
        <v>0</v>
      </c>
      <c r="M254" s="163">
        <v>0</v>
      </c>
      <c r="N254" s="163">
        <v>2</v>
      </c>
      <c r="O254" s="163">
        <f t="shared" si="461"/>
        <v>9</v>
      </c>
      <c r="P254" s="163">
        <f t="shared" si="462"/>
        <v>2</v>
      </c>
      <c r="Q254" s="163">
        <v>2</v>
      </c>
      <c r="R254" s="163">
        <v>0</v>
      </c>
      <c r="S254" s="163">
        <v>0</v>
      </c>
      <c r="T254" s="163">
        <v>0</v>
      </c>
      <c r="U254" s="163">
        <v>1</v>
      </c>
      <c r="V254" s="164">
        <f t="shared" si="463"/>
        <v>0.6</v>
      </c>
      <c r="W254" s="164">
        <f t="shared" si="464"/>
        <v>0.9</v>
      </c>
      <c r="X254" s="164">
        <f t="shared" si="465"/>
        <v>0</v>
      </c>
      <c r="Y254" s="164">
        <f t="shared" si="466"/>
        <v>0</v>
      </c>
      <c r="Z254" s="164">
        <f t="shared" si="467"/>
        <v>0.6</v>
      </c>
      <c r="AA254" s="165">
        <f t="shared" si="468"/>
        <v>8.2999999999999989</v>
      </c>
      <c r="AB254" s="46" t="str">
        <f t="shared" si="470"/>
        <v>REG</v>
      </c>
    </row>
    <row r="255" spans="1:28" ht="39.950000000000003" customHeight="1" x14ac:dyDescent="0.5">
      <c r="A255" s="44" t="str">
        <f>A253</f>
        <v>Mickeylads</v>
      </c>
      <c r="B255" s="44">
        <f>B253</f>
        <v>3</v>
      </c>
      <c r="C255" s="44">
        <f>C253</f>
        <v>5</v>
      </c>
      <c r="D255" s="86" t="s">
        <v>32</v>
      </c>
      <c r="E255" s="105">
        <f t="shared" ref="E255:N255" si="472">SUM(E250:E254)</f>
        <v>25</v>
      </c>
      <c r="F255" s="105">
        <f t="shared" si="472"/>
        <v>40</v>
      </c>
      <c r="G255" s="105">
        <f t="shared" si="472"/>
        <v>6</v>
      </c>
      <c r="H255" s="105">
        <f t="shared" si="472"/>
        <v>19</v>
      </c>
      <c r="I255" s="105">
        <f t="shared" si="472"/>
        <v>31</v>
      </c>
      <c r="J255" s="105">
        <f t="shared" si="472"/>
        <v>59</v>
      </c>
      <c r="K255" s="105">
        <f t="shared" si="472"/>
        <v>8</v>
      </c>
      <c r="L255" s="105">
        <f t="shared" si="472"/>
        <v>13</v>
      </c>
      <c r="M255" s="105">
        <f t="shared" si="472"/>
        <v>12</v>
      </c>
      <c r="N255" s="105">
        <f t="shared" si="472"/>
        <v>22</v>
      </c>
      <c r="O255" s="105">
        <f>SUM(O250:O254)+4</f>
        <v>80</v>
      </c>
      <c r="P255" s="105">
        <f t="shared" ref="P255:U255" si="473">SUM(P250:P254)</f>
        <v>34</v>
      </c>
      <c r="Q255" s="105">
        <f t="shared" si="473"/>
        <v>15</v>
      </c>
      <c r="R255" s="105">
        <f t="shared" si="473"/>
        <v>3</v>
      </c>
      <c r="S255" s="105">
        <f t="shared" si="473"/>
        <v>5</v>
      </c>
      <c r="T255" s="105">
        <f t="shared" si="473"/>
        <v>6</v>
      </c>
      <c r="U255" s="105">
        <f t="shared" si="473"/>
        <v>7</v>
      </c>
      <c r="V255" s="106">
        <f>IFERROR(I255/J255,0)</f>
        <v>0.52542372881355937</v>
      </c>
      <c r="W255" s="106">
        <f>IFERROR(O255/(2*(J255+0.44*L255)), 0)</f>
        <v>0.61804697156983934</v>
      </c>
      <c r="X255" s="106">
        <f>IFERROR(K255/L255,0)</f>
        <v>0.61538461538461542</v>
      </c>
      <c r="Y255" s="106">
        <f>IFERROR(E255/F255,0)</f>
        <v>0.625</v>
      </c>
      <c r="Z255" s="106">
        <f t="shared" si="467"/>
        <v>0.31578947368421051</v>
      </c>
      <c r="AA255" s="107">
        <f>IFERROR(AVERAGE(AA250:AA254),0)</f>
        <v>13.780000000000001</v>
      </c>
      <c r="AB255" s="46" t="str">
        <f t="shared" si="470"/>
        <v>REG</v>
      </c>
    </row>
    <row r="256" spans="1:28" ht="39.950000000000003" customHeight="1" x14ac:dyDescent="0.55000000000000004">
      <c r="A256" s="44" t="s">
        <v>33</v>
      </c>
      <c r="B256" s="44">
        <f t="shared" ref="B256:C256" si="474">B255</f>
        <v>3</v>
      </c>
      <c r="C256" s="44">
        <f t="shared" si="474"/>
        <v>5</v>
      </c>
      <c r="D256" s="158" t="s">
        <v>78</v>
      </c>
      <c r="E256" s="83"/>
      <c r="F256" s="83"/>
      <c r="G256" s="83"/>
      <c r="H256" s="83"/>
      <c r="I256" s="83"/>
      <c r="J256" s="83"/>
      <c r="K256" s="83"/>
      <c r="L256" s="83"/>
      <c r="M256" s="83"/>
      <c r="N256" s="83"/>
      <c r="O256" s="83">
        <v>67</v>
      </c>
      <c r="P256" s="83"/>
      <c r="Q256" s="83"/>
      <c r="R256" s="83"/>
      <c r="S256" s="83"/>
      <c r="T256" s="83"/>
      <c r="U256" s="83"/>
      <c r="V256" s="83"/>
      <c r="W256" s="83"/>
      <c r="X256" s="83"/>
      <c r="Y256" s="83"/>
      <c r="Z256" s="83"/>
      <c r="AA256" s="83"/>
      <c r="AB256" s="46" t="str">
        <f t="shared" si="470"/>
        <v>REG</v>
      </c>
    </row>
    <row r="257" spans="1:28" ht="39.950000000000003" customHeight="1" x14ac:dyDescent="0.5">
      <c r="A257" s="44" t="str">
        <f>D263</f>
        <v>slow motion</v>
      </c>
      <c r="B257" s="44">
        <v>3</v>
      </c>
      <c r="C257" s="44">
        <v>6</v>
      </c>
      <c r="D257" s="86" t="s">
        <v>65</v>
      </c>
      <c r="E257" s="87">
        <v>5</v>
      </c>
      <c r="F257" s="87">
        <v>7</v>
      </c>
      <c r="G257" s="87">
        <v>0</v>
      </c>
      <c r="H257" s="87">
        <v>1</v>
      </c>
      <c r="I257" s="87">
        <f>E257+G257</f>
        <v>5</v>
      </c>
      <c r="J257" s="87">
        <f>F257+H257</f>
        <v>8</v>
      </c>
      <c r="K257" s="87">
        <v>0</v>
      </c>
      <c r="L257" s="87">
        <v>1</v>
      </c>
      <c r="M257" s="87">
        <v>4</v>
      </c>
      <c r="N257" s="87">
        <v>6</v>
      </c>
      <c r="O257" s="87">
        <f>E257*2+G257*3+K257</f>
        <v>10</v>
      </c>
      <c r="P257" s="87">
        <f>M257+N257</f>
        <v>10</v>
      </c>
      <c r="Q257" s="87">
        <v>2</v>
      </c>
      <c r="R257" s="87">
        <v>1</v>
      </c>
      <c r="S257" s="87">
        <v>1</v>
      </c>
      <c r="T257" s="87">
        <v>1</v>
      </c>
      <c r="U257" s="87">
        <v>4</v>
      </c>
      <c r="V257" s="88">
        <f>IFERROR(I257/J257,0)</f>
        <v>0.625</v>
      </c>
      <c r="W257" s="88">
        <f>IFERROR(O257/(2*(J257+0.44*L257)), 0)</f>
        <v>0.59241706161137442</v>
      </c>
      <c r="X257" s="88">
        <f>IFERROR(K257/L257,0)</f>
        <v>0</v>
      </c>
      <c r="Y257" s="88">
        <f>IFERROR(E257/F257,0)</f>
        <v>0.7142857142857143</v>
      </c>
      <c r="Z257" s="88">
        <f>IFERROR(G257/H257,0)</f>
        <v>0</v>
      </c>
      <c r="AA257" s="89">
        <f>(O257)+(0.4*I257)-(0.7*J257)-(0.4*(L257-K257))+(0.7*M257)+(0.3*N257)+S257+(0.7*Q257)+(0.7*R257)-(0.4*U257)-T257</f>
        <v>11.100000000000001</v>
      </c>
      <c r="AB257" s="168" t="s">
        <v>27</v>
      </c>
    </row>
    <row r="258" spans="1:28" ht="39.950000000000003" customHeight="1" x14ac:dyDescent="0.5">
      <c r="A258" s="44" t="str">
        <f>A257</f>
        <v>slow motion</v>
      </c>
      <c r="B258" s="44">
        <v>3</v>
      </c>
      <c r="C258" s="44">
        <f>C257</f>
        <v>6</v>
      </c>
      <c r="D258" s="86" t="s">
        <v>28</v>
      </c>
      <c r="E258" s="90">
        <v>5</v>
      </c>
      <c r="F258" s="90">
        <v>11</v>
      </c>
      <c r="G258" s="90">
        <v>2</v>
      </c>
      <c r="H258" s="90">
        <v>11</v>
      </c>
      <c r="I258" s="90">
        <f t="shared" ref="I258:J262" si="475">E258+G258</f>
        <v>7</v>
      </c>
      <c r="J258" s="90">
        <f t="shared" si="475"/>
        <v>22</v>
      </c>
      <c r="K258" s="90">
        <v>5</v>
      </c>
      <c r="L258" s="90">
        <v>6</v>
      </c>
      <c r="M258" s="90">
        <v>0</v>
      </c>
      <c r="N258" s="90">
        <v>5</v>
      </c>
      <c r="O258" s="90">
        <f t="shared" ref="O258:O261" si="476">E258*2+G258*3+K258</f>
        <v>21</v>
      </c>
      <c r="P258" s="90">
        <f t="shared" ref="P258:P261" si="477">M258+N258</f>
        <v>5</v>
      </c>
      <c r="Q258" s="90">
        <v>3</v>
      </c>
      <c r="R258" s="90">
        <v>0</v>
      </c>
      <c r="S258" s="90">
        <v>1</v>
      </c>
      <c r="T258" s="90">
        <v>1</v>
      </c>
      <c r="U258" s="90">
        <v>2</v>
      </c>
      <c r="V258" s="91">
        <f>IFERROR(I258/J258,0)</f>
        <v>0.31818181818181818</v>
      </c>
      <c r="W258" s="91">
        <f t="shared" ref="W258:W261" si="478">IFERROR(O258/(2*(J258+0.44*L258)), 0)</f>
        <v>0.42613636363636365</v>
      </c>
      <c r="X258" s="91">
        <f t="shared" ref="X258:X261" si="479">IFERROR(K258/L258,0)</f>
        <v>0.83333333333333337</v>
      </c>
      <c r="Y258" s="91">
        <f t="shared" ref="Y258:Y261" si="480">IFERROR(E258/F258,0)</f>
        <v>0.45454545454545453</v>
      </c>
      <c r="Z258" s="91">
        <f t="shared" ref="Z258:Z262" si="481">IFERROR(G258/H258,0)</f>
        <v>0.18181818181818182</v>
      </c>
      <c r="AA258" s="92">
        <f t="shared" ref="AA258:AA261" si="482">(O258)+(0.4*I258)-(0.7*J258)-(0.4*(L258-K258))+(0.7*M258)+(0.3*N258)+S258+(0.7*Q258)+(0.7*R258)-(0.4*U258)-T258</f>
        <v>10.8</v>
      </c>
      <c r="AB258" s="168" t="str">
        <f>AB257</f>
        <v>REG</v>
      </c>
    </row>
    <row r="259" spans="1:28" ht="39.950000000000003" customHeight="1" x14ac:dyDescent="0.5">
      <c r="A259" s="44" t="str">
        <f t="shared" ref="A259:C261" si="483">A258</f>
        <v>slow motion</v>
      </c>
      <c r="B259" s="44">
        <f t="shared" si="483"/>
        <v>3</v>
      </c>
      <c r="C259" s="44">
        <f t="shared" si="483"/>
        <v>6</v>
      </c>
      <c r="D259" s="86" t="s">
        <v>29</v>
      </c>
      <c r="E259" s="93">
        <v>0</v>
      </c>
      <c r="F259" s="93">
        <v>0</v>
      </c>
      <c r="G259" s="93">
        <v>1</v>
      </c>
      <c r="H259" s="93">
        <v>5</v>
      </c>
      <c r="I259" s="93">
        <f t="shared" si="475"/>
        <v>1</v>
      </c>
      <c r="J259" s="93">
        <f t="shared" si="475"/>
        <v>5</v>
      </c>
      <c r="K259" s="93">
        <v>0</v>
      </c>
      <c r="L259" s="93">
        <v>0</v>
      </c>
      <c r="M259" s="93">
        <v>3</v>
      </c>
      <c r="N259" s="93">
        <v>1</v>
      </c>
      <c r="O259" s="93">
        <f t="shared" si="476"/>
        <v>3</v>
      </c>
      <c r="P259" s="93">
        <f t="shared" si="477"/>
        <v>4</v>
      </c>
      <c r="Q259" s="93">
        <v>1</v>
      </c>
      <c r="R259" s="93">
        <v>0</v>
      </c>
      <c r="S259" s="93">
        <v>0</v>
      </c>
      <c r="T259" s="93">
        <v>1</v>
      </c>
      <c r="U259" s="93">
        <v>0</v>
      </c>
      <c r="V259" s="94">
        <f t="shared" ref="V259:V262" si="484">IFERROR(I259/J259,0)</f>
        <v>0.2</v>
      </c>
      <c r="W259" s="94">
        <f t="shared" si="478"/>
        <v>0.3</v>
      </c>
      <c r="X259" s="94">
        <f t="shared" si="479"/>
        <v>0</v>
      </c>
      <c r="Y259" s="94">
        <f t="shared" si="480"/>
        <v>0</v>
      </c>
      <c r="Z259" s="94">
        <f t="shared" si="481"/>
        <v>0.2</v>
      </c>
      <c r="AA259" s="95">
        <f t="shared" si="482"/>
        <v>1.9999999999999991</v>
      </c>
      <c r="AB259" s="46" t="str">
        <f t="shared" ref="AB259:AB263" si="485">AB258</f>
        <v>REG</v>
      </c>
    </row>
    <row r="260" spans="1:28" ht="39.950000000000003" customHeight="1" x14ac:dyDescent="0.5">
      <c r="A260" s="44" t="str">
        <f t="shared" si="483"/>
        <v>slow motion</v>
      </c>
      <c r="B260" s="44">
        <f t="shared" si="483"/>
        <v>3</v>
      </c>
      <c r="C260" s="44">
        <f t="shared" si="483"/>
        <v>6</v>
      </c>
      <c r="D260" s="86" t="s">
        <v>45</v>
      </c>
      <c r="E260" s="99">
        <v>10</v>
      </c>
      <c r="F260" s="99">
        <v>20</v>
      </c>
      <c r="G260" s="99">
        <v>2</v>
      </c>
      <c r="H260" s="99">
        <v>5</v>
      </c>
      <c r="I260" s="99">
        <f t="shared" si="475"/>
        <v>12</v>
      </c>
      <c r="J260" s="99">
        <f t="shared" si="475"/>
        <v>25</v>
      </c>
      <c r="K260" s="99">
        <v>5</v>
      </c>
      <c r="L260" s="99">
        <v>7</v>
      </c>
      <c r="M260" s="99">
        <v>4</v>
      </c>
      <c r="N260" s="99">
        <v>13</v>
      </c>
      <c r="O260" s="99">
        <f t="shared" si="476"/>
        <v>31</v>
      </c>
      <c r="P260" s="99">
        <f t="shared" si="477"/>
        <v>17</v>
      </c>
      <c r="Q260" s="99">
        <v>2</v>
      </c>
      <c r="R260" s="99">
        <v>1</v>
      </c>
      <c r="S260" s="99">
        <v>2</v>
      </c>
      <c r="T260" s="99">
        <v>2</v>
      </c>
      <c r="U260" s="99">
        <v>0</v>
      </c>
      <c r="V260" s="100">
        <f t="shared" si="484"/>
        <v>0.48</v>
      </c>
      <c r="W260" s="100">
        <f t="shared" si="478"/>
        <v>0.55199430199430199</v>
      </c>
      <c r="X260" s="100">
        <f t="shared" si="479"/>
        <v>0.7142857142857143</v>
      </c>
      <c r="Y260" s="100">
        <f t="shared" si="480"/>
        <v>0.5</v>
      </c>
      <c r="Z260" s="100">
        <f t="shared" si="481"/>
        <v>0.4</v>
      </c>
      <c r="AA260" s="101">
        <f t="shared" si="482"/>
        <v>26.299999999999994</v>
      </c>
      <c r="AB260" s="46" t="str">
        <f t="shared" si="485"/>
        <v>REG</v>
      </c>
    </row>
    <row r="261" spans="1:28" ht="39.950000000000003" customHeight="1" x14ac:dyDescent="0.5">
      <c r="A261" s="44" t="str">
        <f t="shared" si="483"/>
        <v>slow motion</v>
      </c>
      <c r="B261" s="44">
        <f t="shared" si="483"/>
        <v>3</v>
      </c>
      <c r="C261" s="44">
        <f t="shared" si="483"/>
        <v>6</v>
      </c>
      <c r="D261" s="86" t="s">
        <v>41</v>
      </c>
      <c r="E261" s="163">
        <v>0</v>
      </c>
      <c r="F261" s="163">
        <v>1</v>
      </c>
      <c r="G261" s="163">
        <v>1</v>
      </c>
      <c r="H261" s="163">
        <v>4</v>
      </c>
      <c r="I261" s="163">
        <f t="shared" si="475"/>
        <v>1</v>
      </c>
      <c r="J261" s="163">
        <f t="shared" si="475"/>
        <v>5</v>
      </c>
      <c r="K261" s="163">
        <v>0</v>
      </c>
      <c r="L261" s="163">
        <v>0</v>
      </c>
      <c r="M261" s="163">
        <v>1</v>
      </c>
      <c r="N261" s="163">
        <v>2</v>
      </c>
      <c r="O261" s="163">
        <f t="shared" si="476"/>
        <v>3</v>
      </c>
      <c r="P261" s="163">
        <f t="shared" si="477"/>
        <v>3</v>
      </c>
      <c r="Q261" s="163">
        <v>2</v>
      </c>
      <c r="R261" s="163">
        <v>0</v>
      </c>
      <c r="S261" s="163">
        <v>0</v>
      </c>
      <c r="T261" s="163">
        <v>1</v>
      </c>
      <c r="U261" s="163">
        <v>0</v>
      </c>
      <c r="V261" s="164">
        <f t="shared" si="484"/>
        <v>0.2</v>
      </c>
      <c r="W261" s="164">
        <f t="shared" si="478"/>
        <v>0.3</v>
      </c>
      <c r="X261" s="164">
        <f t="shared" si="479"/>
        <v>0</v>
      </c>
      <c r="Y261" s="164">
        <f t="shared" si="480"/>
        <v>0</v>
      </c>
      <c r="Z261" s="164">
        <f t="shared" si="481"/>
        <v>0.25</v>
      </c>
      <c r="AA261" s="165">
        <f t="shared" si="482"/>
        <v>1.5999999999999996</v>
      </c>
      <c r="AB261" s="46" t="str">
        <f t="shared" si="485"/>
        <v>REG</v>
      </c>
    </row>
    <row r="262" spans="1:28" ht="39.950000000000003" customHeight="1" x14ac:dyDescent="0.5">
      <c r="A262" s="44" t="str">
        <f>A260</f>
        <v>slow motion</v>
      </c>
      <c r="B262" s="44">
        <f>B260</f>
        <v>3</v>
      </c>
      <c r="C262" s="44">
        <f>C260</f>
        <v>6</v>
      </c>
      <c r="D262" s="86" t="s">
        <v>32</v>
      </c>
      <c r="E262" s="105">
        <f t="shared" ref="E262:I262" si="486">SUM(E257:E261)</f>
        <v>20</v>
      </c>
      <c r="F262" s="105">
        <f t="shared" si="486"/>
        <v>39</v>
      </c>
      <c r="G262" s="105">
        <f t="shared" si="486"/>
        <v>6</v>
      </c>
      <c r="H262" s="105">
        <f t="shared" si="486"/>
        <v>26</v>
      </c>
      <c r="I262" s="105">
        <f t="shared" si="486"/>
        <v>26</v>
      </c>
      <c r="J262" s="105">
        <f t="shared" si="475"/>
        <v>65</v>
      </c>
      <c r="K262" s="105">
        <f t="shared" ref="K262:U262" si="487">SUM(K257:K261)</f>
        <v>10</v>
      </c>
      <c r="L262" s="105">
        <f t="shared" si="487"/>
        <v>14</v>
      </c>
      <c r="M262" s="105">
        <f t="shared" si="487"/>
        <v>12</v>
      </c>
      <c r="N262" s="105">
        <f t="shared" si="487"/>
        <v>27</v>
      </c>
      <c r="O262" s="105">
        <f t="shared" si="487"/>
        <v>68</v>
      </c>
      <c r="P262" s="105">
        <f t="shared" si="487"/>
        <v>39</v>
      </c>
      <c r="Q262" s="105">
        <f t="shared" si="487"/>
        <v>10</v>
      </c>
      <c r="R262" s="105">
        <f t="shared" si="487"/>
        <v>2</v>
      </c>
      <c r="S262" s="105">
        <f t="shared" si="487"/>
        <v>4</v>
      </c>
      <c r="T262" s="105">
        <f t="shared" si="487"/>
        <v>6</v>
      </c>
      <c r="U262" s="105">
        <f t="shared" si="487"/>
        <v>6</v>
      </c>
      <c r="V262" s="106">
        <f t="shared" si="484"/>
        <v>0.4</v>
      </c>
      <c r="W262" s="106">
        <f>IFERROR(O262/(2*(J262+0.44*L262)), 0)</f>
        <v>0.47779651489600899</v>
      </c>
      <c r="X262" s="106">
        <f>IFERROR(K262/L262,0)</f>
        <v>0.7142857142857143</v>
      </c>
      <c r="Y262" s="106">
        <f>IFERROR(E262/F262,0)</f>
        <v>0.51282051282051277</v>
      </c>
      <c r="Z262" s="106">
        <f t="shared" si="481"/>
        <v>0.23076923076923078</v>
      </c>
      <c r="AA262" s="107">
        <f>IFERROR(AVERAGE(AA257:AA261),0)</f>
        <v>10.36</v>
      </c>
      <c r="AB262" s="46" t="str">
        <f t="shared" si="485"/>
        <v>REG</v>
      </c>
    </row>
    <row r="263" spans="1:28" ht="39.950000000000003" customHeight="1" x14ac:dyDescent="0.55000000000000004">
      <c r="A263" s="44" t="s">
        <v>33</v>
      </c>
      <c r="B263" s="44">
        <f t="shared" ref="B263:C263" si="488">B262</f>
        <v>3</v>
      </c>
      <c r="C263" s="44">
        <f t="shared" si="488"/>
        <v>6</v>
      </c>
      <c r="D263" s="158" t="s">
        <v>49</v>
      </c>
      <c r="E263" s="83"/>
      <c r="F263" s="83"/>
      <c r="G263" s="83"/>
      <c r="H263" s="83"/>
      <c r="I263" s="83"/>
      <c r="J263" s="83"/>
      <c r="K263" s="83"/>
      <c r="L263" s="83"/>
      <c r="M263" s="83"/>
      <c r="N263" s="83"/>
      <c r="O263" s="83">
        <v>51</v>
      </c>
      <c r="P263" s="83"/>
      <c r="Q263" s="83"/>
      <c r="R263" s="83"/>
      <c r="S263" s="83"/>
      <c r="T263" s="83"/>
      <c r="U263" s="83"/>
      <c r="V263" s="83"/>
      <c r="W263" s="83"/>
      <c r="X263" s="83"/>
      <c r="Y263" s="83"/>
      <c r="Z263" s="83"/>
      <c r="AA263" s="83"/>
      <c r="AB263" s="46" t="str">
        <f t="shared" si="485"/>
        <v>REG</v>
      </c>
    </row>
    <row r="264" spans="1:28" ht="39.950000000000003" customHeight="1" x14ac:dyDescent="0.5">
      <c r="A264" s="44" t="str">
        <f>D270</f>
        <v>The Warriors</v>
      </c>
      <c r="B264" s="44">
        <v>3</v>
      </c>
      <c r="C264" s="44">
        <v>7</v>
      </c>
      <c r="D264" s="86" t="s">
        <v>65</v>
      </c>
      <c r="E264" s="87">
        <v>3</v>
      </c>
      <c r="F264" s="87">
        <v>8</v>
      </c>
      <c r="G264" s="87">
        <v>1</v>
      </c>
      <c r="H264" s="87">
        <v>3</v>
      </c>
      <c r="I264" s="87">
        <f>E264+G264</f>
        <v>4</v>
      </c>
      <c r="J264" s="87">
        <f>F264+H264</f>
        <v>11</v>
      </c>
      <c r="K264" s="87">
        <v>1</v>
      </c>
      <c r="L264" s="87">
        <v>1</v>
      </c>
      <c r="M264" s="87">
        <v>3</v>
      </c>
      <c r="N264" s="87">
        <v>4</v>
      </c>
      <c r="O264" s="87">
        <f>E264*2+G264*3+K264</f>
        <v>10</v>
      </c>
      <c r="P264" s="87">
        <f>M264+N264</f>
        <v>7</v>
      </c>
      <c r="Q264" s="87">
        <v>2</v>
      </c>
      <c r="R264" s="87">
        <v>0</v>
      </c>
      <c r="S264" s="87">
        <v>0</v>
      </c>
      <c r="T264" s="87">
        <v>0</v>
      </c>
      <c r="U264" s="87">
        <v>4</v>
      </c>
      <c r="V264" s="88">
        <f>IFERROR(I264/J264,0)</f>
        <v>0.36363636363636365</v>
      </c>
      <c r="W264" s="88">
        <f>IFERROR(O264/(2*(J264+0.44*L264)), 0)</f>
        <v>0.43706293706293708</v>
      </c>
      <c r="X264" s="88">
        <f>IFERROR(K264/L264,0)</f>
        <v>1</v>
      </c>
      <c r="Y264" s="88">
        <f>IFERROR(E264/F264,0)</f>
        <v>0.375</v>
      </c>
      <c r="Z264" s="88">
        <f>IFERROR(G264/H264,0)</f>
        <v>0.33333333333333331</v>
      </c>
      <c r="AA264" s="89">
        <f>(O264)+(0.4*I264)-(0.7*J264)-(0.4*(L264-K264))+(0.7*M264)+(0.3*N264)+S264+(0.7*Q264)+(0.7*R264)-(0.4*U264)-T264</f>
        <v>7</v>
      </c>
      <c r="AB264" s="110" t="s">
        <v>53</v>
      </c>
    </row>
    <row r="265" spans="1:28" ht="39.950000000000003" customHeight="1" x14ac:dyDescent="0.5">
      <c r="A265" s="44" t="str">
        <f>A264</f>
        <v>The Warriors</v>
      </c>
      <c r="B265" s="44">
        <v>3</v>
      </c>
      <c r="C265" s="44">
        <f>C264</f>
        <v>7</v>
      </c>
      <c r="D265" s="86" t="s">
        <v>28</v>
      </c>
      <c r="E265" s="90">
        <v>5</v>
      </c>
      <c r="F265" s="90">
        <v>8</v>
      </c>
      <c r="G265" s="90">
        <v>1</v>
      </c>
      <c r="H265" s="90">
        <v>8</v>
      </c>
      <c r="I265" s="90">
        <f t="shared" ref="I265:J269" si="489">E265+G265</f>
        <v>6</v>
      </c>
      <c r="J265" s="90">
        <f t="shared" si="489"/>
        <v>16</v>
      </c>
      <c r="K265" s="90">
        <v>2</v>
      </c>
      <c r="L265" s="90">
        <v>4</v>
      </c>
      <c r="M265" s="90">
        <v>4</v>
      </c>
      <c r="N265" s="90">
        <v>4</v>
      </c>
      <c r="O265" s="90">
        <f t="shared" ref="O265:O268" si="490">E265*2+G265*3+K265</f>
        <v>15</v>
      </c>
      <c r="P265" s="90">
        <f t="shared" ref="P265:P268" si="491">M265+N265</f>
        <v>8</v>
      </c>
      <c r="Q265" s="90">
        <v>3</v>
      </c>
      <c r="R265" s="90">
        <v>0</v>
      </c>
      <c r="S265" s="90">
        <v>2</v>
      </c>
      <c r="T265" s="90">
        <v>2</v>
      </c>
      <c r="U265" s="90">
        <v>1</v>
      </c>
      <c r="V265" s="91">
        <f t="shared" ref="V265:V268" si="492">IFERROR(I265/J265,0)</f>
        <v>0.375</v>
      </c>
      <c r="W265" s="91">
        <f t="shared" ref="W265:W268" si="493">IFERROR(O265/(2*(J265+0.44*L265)), 0)</f>
        <v>0.42229729729729726</v>
      </c>
      <c r="X265" s="91">
        <f t="shared" ref="X265:X268" si="494">IFERROR(K265/L265,0)</f>
        <v>0.5</v>
      </c>
      <c r="Y265" s="91">
        <f t="shared" ref="Y265:Y268" si="495">IFERROR(E265/F265,0)</f>
        <v>0.625</v>
      </c>
      <c r="Z265" s="91">
        <f t="shared" ref="Z265:Z269" si="496">IFERROR(G265/H265,0)</f>
        <v>0.125</v>
      </c>
      <c r="AA265" s="92">
        <f t="shared" ref="AA265:AA268" si="497">(O265)+(0.4*I265)-(0.7*J265)-(0.4*(L265-K265))+(0.7*M265)+(0.3*N265)+S265+(0.7*Q265)+(0.7*R265)-(0.4*U265)-T265</f>
        <v>11.099999999999998</v>
      </c>
      <c r="AB265" s="168" t="str">
        <f>AB264</f>
        <v>FINAL</v>
      </c>
    </row>
    <row r="266" spans="1:28" ht="39.950000000000003" customHeight="1" x14ac:dyDescent="0.5">
      <c r="A266" s="44" t="str">
        <f t="shared" ref="A266:C268" si="498">A265</f>
        <v>The Warriors</v>
      </c>
      <c r="B266" s="44">
        <f t="shared" si="498"/>
        <v>3</v>
      </c>
      <c r="C266" s="44">
        <f t="shared" si="498"/>
        <v>7</v>
      </c>
      <c r="D266" s="86" t="s">
        <v>29</v>
      </c>
      <c r="E266" s="93">
        <v>0</v>
      </c>
      <c r="F266" s="93">
        <v>2</v>
      </c>
      <c r="G266" s="93">
        <v>0</v>
      </c>
      <c r="H266" s="93">
        <v>2</v>
      </c>
      <c r="I266" s="93">
        <f t="shared" si="489"/>
        <v>0</v>
      </c>
      <c r="J266" s="93">
        <f t="shared" si="489"/>
        <v>4</v>
      </c>
      <c r="K266" s="93">
        <v>0</v>
      </c>
      <c r="L266" s="93">
        <v>0</v>
      </c>
      <c r="M266" s="93">
        <v>0</v>
      </c>
      <c r="N266" s="93">
        <v>2</v>
      </c>
      <c r="O266" s="93">
        <f t="shared" si="490"/>
        <v>0</v>
      </c>
      <c r="P266" s="93">
        <f t="shared" si="491"/>
        <v>2</v>
      </c>
      <c r="Q266" s="93">
        <v>2</v>
      </c>
      <c r="R266" s="93">
        <v>0</v>
      </c>
      <c r="S266" s="93">
        <v>2</v>
      </c>
      <c r="T266" s="93">
        <v>0</v>
      </c>
      <c r="U266" s="93">
        <v>4</v>
      </c>
      <c r="V266" s="94">
        <f t="shared" si="492"/>
        <v>0</v>
      </c>
      <c r="W266" s="94">
        <f t="shared" si="493"/>
        <v>0</v>
      </c>
      <c r="X266" s="94">
        <f t="shared" si="494"/>
        <v>0</v>
      </c>
      <c r="Y266" s="94">
        <f t="shared" si="495"/>
        <v>0</v>
      </c>
      <c r="Z266" s="94">
        <f t="shared" si="496"/>
        <v>0</v>
      </c>
      <c r="AA266" s="95">
        <f t="shared" si="497"/>
        <v>-0.39999999999999991</v>
      </c>
      <c r="AB266" s="46" t="str">
        <f t="shared" ref="AB266:AB270" si="499">AB265</f>
        <v>FINAL</v>
      </c>
    </row>
    <row r="267" spans="1:28" ht="39.950000000000003" customHeight="1" x14ac:dyDescent="0.5">
      <c r="A267" s="44" t="str">
        <f t="shared" si="498"/>
        <v>The Warriors</v>
      </c>
      <c r="B267" s="44">
        <f t="shared" si="498"/>
        <v>3</v>
      </c>
      <c r="C267" s="44">
        <f t="shared" si="498"/>
        <v>7</v>
      </c>
      <c r="D267" s="86" t="s">
        <v>45</v>
      </c>
      <c r="E267" s="99">
        <v>11</v>
      </c>
      <c r="F267" s="99">
        <v>16</v>
      </c>
      <c r="G267" s="99">
        <v>0</v>
      </c>
      <c r="H267" s="99">
        <v>1</v>
      </c>
      <c r="I267" s="99">
        <f t="shared" si="489"/>
        <v>11</v>
      </c>
      <c r="J267" s="99">
        <f t="shared" si="489"/>
        <v>17</v>
      </c>
      <c r="K267" s="99">
        <v>5</v>
      </c>
      <c r="L267" s="99">
        <v>6</v>
      </c>
      <c r="M267" s="99">
        <v>1</v>
      </c>
      <c r="N267" s="99">
        <v>4</v>
      </c>
      <c r="O267" s="99">
        <f t="shared" si="490"/>
        <v>27</v>
      </c>
      <c r="P267" s="99">
        <f t="shared" si="491"/>
        <v>5</v>
      </c>
      <c r="Q267" s="99">
        <v>4</v>
      </c>
      <c r="R267" s="99">
        <v>0</v>
      </c>
      <c r="S267" s="99">
        <v>0</v>
      </c>
      <c r="T267" s="99">
        <v>4</v>
      </c>
      <c r="U267" s="99">
        <v>3</v>
      </c>
      <c r="V267" s="100">
        <f t="shared" si="492"/>
        <v>0.6470588235294118</v>
      </c>
      <c r="W267" s="100">
        <f t="shared" si="493"/>
        <v>0.68737270875763745</v>
      </c>
      <c r="X267" s="100">
        <f t="shared" si="494"/>
        <v>0.83333333333333337</v>
      </c>
      <c r="Y267" s="100">
        <f t="shared" si="495"/>
        <v>0.6875</v>
      </c>
      <c r="Z267" s="100">
        <f t="shared" si="496"/>
        <v>0</v>
      </c>
      <c r="AA267" s="101">
        <f t="shared" si="497"/>
        <v>18.600000000000001</v>
      </c>
      <c r="AB267" s="46" t="str">
        <f t="shared" si="499"/>
        <v>FINAL</v>
      </c>
    </row>
    <row r="268" spans="1:28" ht="39.950000000000003" customHeight="1" x14ac:dyDescent="0.5">
      <c r="A268" s="44" t="str">
        <f t="shared" si="498"/>
        <v>The Warriors</v>
      </c>
      <c r="B268" s="44">
        <f t="shared" si="498"/>
        <v>3</v>
      </c>
      <c r="C268" s="44">
        <f t="shared" si="498"/>
        <v>7</v>
      </c>
      <c r="D268" s="86" t="s">
        <v>41</v>
      </c>
      <c r="E268" s="163">
        <v>0</v>
      </c>
      <c r="F268" s="163">
        <v>2</v>
      </c>
      <c r="G268" s="163">
        <v>2</v>
      </c>
      <c r="H268" s="163">
        <v>3</v>
      </c>
      <c r="I268" s="163">
        <f t="shared" si="489"/>
        <v>2</v>
      </c>
      <c r="J268" s="163">
        <f t="shared" si="489"/>
        <v>5</v>
      </c>
      <c r="K268" s="163">
        <v>0</v>
      </c>
      <c r="L268" s="163">
        <v>0</v>
      </c>
      <c r="M268" s="163">
        <v>1</v>
      </c>
      <c r="N268" s="163">
        <v>1</v>
      </c>
      <c r="O268" s="163">
        <f t="shared" si="490"/>
        <v>6</v>
      </c>
      <c r="P268" s="163">
        <f t="shared" si="491"/>
        <v>2</v>
      </c>
      <c r="Q268" s="163">
        <v>2</v>
      </c>
      <c r="R268" s="163">
        <v>0</v>
      </c>
      <c r="S268" s="163">
        <v>0</v>
      </c>
      <c r="T268" s="163">
        <v>0</v>
      </c>
      <c r="U268" s="163">
        <v>0</v>
      </c>
      <c r="V268" s="164">
        <f t="shared" si="492"/>
        <v>0.4</v>
      </c>
      <c r="W268" s="164">
        <f t="shared" si="493"/>
        <v>0.6</v>
      </c>
      <c r="X268" s="164">
        <f t="shared" si="494"/>
        <v>0</v>
      </c>
      <c r="Y268" s="164">
        <f t="shared" si="495"/>
        <v>0</v>
      </c>
      <c r="Z268" s="164">
        <f t="shared" si="496"/>
        <v>0.66666666666666663</v>
      </c>
      <c r="AA268" s="165">
        <f t="shared" si="497"/>
        <v>5.6999999999999993</v>
      </c>
      <c r="AB268" s="46" t="str">
        <f t="shared" si="499"/>
        <v>FINAL</v>
      </c>
    </row>
    <row r="269" spans="1:28" ht="39.950000000000003" customHeight="1" x14ac:dyDescent="0.5">
      <c r="A269" s="44" t="str">
        <f>A267</f>
        <v>The Warriors</v>
      </c>
      <c r="B269" s="44">
        <f>B267</f>
        <v>3</v>
      </c>
      <c r="C269" s="44">
        <f>C267</f>
        <v>7</v>
      </c>
      <c r="D269" s="86" t="s">
        <v>32</v>
      </c>
      <c r="E269" s="105">
        <f t="shared" ref="E269:I269" si="500">SUM(E264:E268)</f>
        <v>19</v>
      </c>
      <c r="F269" s="105">
        <f t="shared" si="500"/>
        <v>36</v>
      </c>
      <c r="G269" s="105">
        <f t="shared" si="500"/>
        <v>4</v>
      </c>
      <c r="H269" s="105">
        <f t="shared" si="500"/>
        <v>17</v>
      </c>
      <c r="I269" s="105">
        <f t="shared" si="500"/>
        <v>23</v>
      </c>
      <c r="J269" s="105">
        <f t="shared" si="489"/>
        <v>53</v>
      </c>
      <c r="K269" s="105">
        <f t="shared" ref="K269:U269" si="501">SUM(K264:K268)</f>
        <v>8</v>
      </c>
      <c r="L269" s="105">
        <f t="shared" si="501"/>
        <v>11</v>
      </c>
      <c r="M269" s="105">
        <f t="shared" si="501"/>
        <v>9</v>
      </c>
      <c r="N269" s="105">
        <f t="shared" si="501"/>
        <v>15</v>
      </c>
      <c r="O269" s="105">
        <f t="shared" si="501"/>
        <v>58</v>
      </c>
      <c r="P269" s="105">
        <f t="shared" si="501"/>
        <v>24</v>
      </c>
      <c r="Q269" s="105">
        <f t="shared" si="501"/>
        <v>13</v>
      </c>
      <c r="R269" s="105">
        <f t="shared" si="501"/>
        <v>0</v>
      </c>
      <c r="S269" s="105">
        <f t="shared" si="501"/>
        <v>4</v>
      </c>
      <c r="T269" s="105">
        <f t="shared" si="501"/>
        <v>6</v>
      </c>
      <c r="U269" s="105">
        <f t="shared" si="501"/>
        <v>12</v>
      </c>
      <c r="V269" s="106">
        <f>IFERROR(I269/J269,0)</f>
        <v>0.43396226415094341</v>
      </c>
      <c r="W269" s="106">
        <f>IFERROR(O269/(2*(J269+0.44*L269)), 0)</f>
        <v>0.50138312586445366</v>
      </c>
      <c r="X269" s="106">
        <f>IFERROR(K269/L269,0)</f>
        <v>0.72727272727272729</v>
      </c>
      <c r="Y269" s="106">
        <f>IFERROR(E269/F269,0)</f>
        <v>0.52777777777777779</v>
      </c>
      <c r="Z269" s="106">
        <f t="shared" si="496"/>
        <v>0.23529411764705882</v>
      </c>
      <c r="AA269" s="107">
        <f>IFERROR(AVERAGE(AA264:AA268),0)</f>
        <v>8.4</v>
      </c>
      <c r="AB269" s="46" t="str">
        <f t="shared" si="499"/>
        <v>FINAL</v>
      </c>
    </row>
    <row r="270" spans="1:28" ht="39.950000000000003" customHeight="1" x14ac:dyDescent="0.55000000000000004">
      <c r="A270" s="44" t="s">
        <v>33</v>
      </c>
      <c r="B270" s="44">
        <f t="shared" ref="B270:C270" si="502">B269</f>
        <v>3</v>
      </c>
      <c r="C270" s="44">
        <f t="shared" si="502"/>
        <v>7</v>
      </c>
      <c r="D270" s="158" t="s">
        <v>70</v>
      </c>
      <c r="E270" s="83"/>
      <c r="F270" s="83"/>
      <c r="G270" s="83"/>
      <c r="H270" s="83"/>
      <c r="I270" s="83"/>
      <c r="J270" s="83"/>
      <c r="K270" s="83"/>
      <c r="L270" s="83"/>
      <c r="M270" s="83"/>
      <c r="N270" s="83"/>
      <c r="O270" s="83">
        <v>60</v>
      </c>
      <c r="P270" s="83"/>
      <c r="Q270" s="83"/>
      <c r="R270" s="83"/>
      <c r="S270" s="83"/>
      <c r="T270" s="83"/>
      <c r="U270" s="83"/>
      <c r="V270" s="83"/>
      <c r="W270" s="83"/>
      <c r="X270" s="83"/>
      <c r="Y270" s="83"/>
      <c r="Z270" s="83"/>
      <c r="AA270" s="83"/>
      <c r="AB270" s="46" t="str">
        <f t="shared" si="499"/>
        <v>FINAL</v>
      </c>
    </row>
    <row r="271" spans="1:28" ht="39.950000000000003" customHeight="1" x14ac:dyDescent="0.25">
      <c r="A271" s="49"/>
      <c r="B271" s="49"/>
      <c r="C271" s="49"/>
      <c r="D271" s="58"/>
      <c r="E271" s="59"/>
      <c r="F271" s="59"/>
      <c r="G271" s="59"/>
      <c r="H271" s="59"/>
      <c r="I271" s="59"/>
      <c r="J271" s="59"/>
      <c r="K271" s="59"/>
      <c r="L271" s="59"/>
      <c r="M271" s="59"/>
      <c r="N271" s="59"/>
      <c r="O271" s="59"/>
      <c r="P271" s="59"/>
      <c r="Q271" s="59"/>
      <c r="R271" s="59"/>
      <c r="S271" s="59"/>
      <c r="T271" s="59"/>
      <c r="U271" s="59"/>
      <c r="V271" s="60"/>
      <c r="W271" s="60"/>
      <c r="X271" s="60"/>
      <c r="Y271" s="60"/>
      <c r="Z271" s="60"/>
      <c r="AA271" s="61"/>
      <c r="AB271" s="54"/>
    </row>
    <row r="272" spans="1:28" ht="39.950000000000003" customHeight="1" x14ac:dyDescent="0.25">
      <c r="A272" s="49"/>
      <c r="B272" s="49"/>
      <c r="C272" s="49"/>
      <c r="D272" s="58"/>
      <c r="E272" s="59"/>
      <c r="F272" s="59"/>
      <c r="G272" s="59"/>
      <c r="H272" s="59"/>
      <c r="I272" s="59"/>
      <c r="J272" s="59"/>
      <c r="K272" s="59"/>
      <c r="L272" s="59"/>
      <c r="M272" s="59"/>
      <c r="N272" s="59"/>
      <c r="O272" s="59"/>
      <c r="P272" s="59"/>
      <c r="Q272" s="59"/>
      <c r="R272" s="59"/>
      <c r="S272" s="59"/>
      <c r="T272" s="59"/>
      <c r="U272" s="59"/>
      <c r="V272" s="60"/>
      <c r="W272" s="60"/>
      <c r="X272" s="60"/>
      <c r="Y272" s="60"/>
      <c r="Z272" s="60"/>
      <c r="AA272" s="61"/>
      <c r="AB272" s="55"/>
    </row>
    <row r="273" spans="1:28" ht="39.950000000000003" customHeight="1" x14ac:dyDescent="0.25">
      <c r="A273" s="49"/>
      <c r="B273" s="49"/>
      <c r="C273" s="49"/>
      <c r="D273" s="58"/>
      <c r="E273" s="58"/>
      <c r="F273" s="58"/>
      <c r="G273" s="58"/>
      <c r="H273" s="58"/>
      <c r="I273" s="58"/>
      <c r="J273" s="58"/>
      <c r="K273" s="58"/>
      <c r="L273" s="58"/>
      <c r="M273" s="58"/>
      <c r="N273" s="58"/>
      <c r="O273" s="58"/>
      <c r="P273" s="58"/>
      <c r="Q273" s="58"/>
      <c r="R273" s="58"/>
      <c r="S273" s="58"/>
      <c r="T273" s="58"/>
      <c r="U273" s="58"/>
      <c r="V273" s="62"/>
      <c r="W273" s="62"/>
      <c r="X273" s="62"/>
      <c r="Y273" s="62"/>
      <c r="Z273" s="62"/>
      <c r="AA273" s="63"/>
      <c r="AB273" s="49"/>
    </row>
    <row r="274" spans="1:28" ht="39.950000000000003" customHeight="1" x14ac:dyDescent="0.25">
      <c r="A274" s="49"/>
      <c r="B274" s="49"/>
      <c r="C274" s="49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  <c r="AA274" s="48"/>
      <c r="AB274" s="54"/>
    </row>
    <row r="275" spans="1:28" ht="39.950000000000003" customHeight="1" x14ac:dyDescent="0.25">
      <c r="A275" s="49"/>
      <c r="B275" s="49"/>
      <c r="C275" s="49"/>
      <c r="D275" s="58"/>
      <c r="E275" s="59"/>
      <c r="F275" s="59"/>
      <c r="G275" s="59"/>
      <c r="H275" s="59"/>
      <c r="I275" s="59"/>
      <c r="J275" s="59"/>
      <c r="K275" s="59"/>
      <c r="L275" s="59"/>
      <c r="M275" s="59"/>
      <c r="N275" s="59"/>
      <c r="O275" s="59"/>
      <c r="P275" s="59"/>
      <c r="Q275" s="59"/>
      <c r="R275" s="59"/>
      <c r="S275" s="59"/>
      <c r="T275" s="59"/>
      <c r="U275" s="59"/>
      <c r="V275" s="60"/>
      <c r="W275" s="60"/>
      <c r="X275" s="60"/>
      <c r="Y275" s="60"/>
      <c r="Z275" s="60"/>
      <c r="AA275" s="61"/>
      <c r="AB275" s="54"/>
    </row>
    <row r="276" spans="1:28" ht="39.950000000000003" customHeight="1" x14ac:dyDescent="0.25">
      <c r="A276" s="49"/>
      <c r="B276" s="49"/>
      <c r="C276" s="49"/>
      <c r="D276" s="58"/>
      <c r="E276" s="64"/>
      <c r="F276" s="64"/>
      <c r="G276" s="64"/>
      <c r="H276" s="64"/>
      <c r="I276" s="64"/>
      <c r="J276" s="64"/>
      <c r="K276" s="64"/>
      <c r="L276" s="64"/>
      <c r="M276" s="64"/>
      <c r="N276" s="64"/>
      <c r="O276" s="64"/>
      <c r="P276" s="64"/>
      <c r="Q276" s="64"/>
      <c r="R276" s="64"/>
      <c r="S276" s="64"/>
      <c r="T276" s="64"/>
      <c r="U276" s="64"/>
      <c r="V276" s="65"/>
      <c r="W276" s="65"/>
      <c r="X276" s="65"/>
      <c r="Y276" s="65"/>
      <c r="Z276" s="65"/>
      <c r="AA276" s="66"/>
      <c r="AB276" s="54"/>
    </row>
    <row r="277" spans="1:28" ht="39.950000000000003" customHeight="1" x14ac:dyDescent="0.25">
      <c r="A277" s="49"/>
      <c r="B277" s="49"/>
      <c r="C277" s="49"/>
      <c r="D277" s="58"/>
      <c r="E277" s="59"/>
      <c r="F277" s="59"/>
      <c r="G277" s="59"/>
      <c r="H277" s="59"/>
      <c r="I277" s="59"/>
      <c r="J277" s="59"/>
      <c r="K277" s="59"/>
      <c r="L277" s="59"/>
      <c r="M277" s="59"/>
      <c r="N277" s="59"/>
      <c r="O277" s="59"/>
      <c r="P277" s="59"/>
      <c r="Q277" s="59"/>
      <c r="R277" s="59"/>
      <c r="S277" s="59"/>
      <c r="T277" s="59"/>
      <c r="U277" s="59"/>
      <c r="V277" s="60"/>
      <c r="W277" s="60"/>
      <c r="X277" s="60"/>
      <c r="Y277" s="60"/>
      <c r="Z277" s="60"/>
      <c r="AA277" s="61"/>
      <c r="AB277" s="54"/>
    </row>
    <row r="278" spans="1:28" ht="39.950000000000003" customHeight="1" x14ac:dyDescent="0.25">
      <c r="A278" s="49"/>
      <c r="B278" s="49"/>
      <c r="C278" s="49"/>
      <c r="D278" s="58"/>
      <c r="E278" s="59"/>
      <c r="F278" s="59"/>
      <c r="G278" s="59"/>
      <c r="H278" s="59"/>
      <c r="I278" s="59"/>
      <c r="J278" s="59"/>
      <c r="K278" s="59"/>
      <c r="L278" s="59"/>
      <c r="M278" s="59"/>
      <c r="N278" s="59"/>
      <c r="O278" s="59"/>
      <c r="P278" s="59"/>
      <c r="Q278" s="59"/>
      <c r="R278" s="59"/>
      <c r="S278" s="59"/>
      <c r="T278" s="59"/>
      <c r="U278" s="59"/>
      <c r="V278" s="60"/>
      <c r="W278" s="60"/>
      <c r="X278" s="60"/>
      <c r="Y278" s="60"/>
      <c r="Z278" s="60"/>
      <c r="AA278" s="61"/>
      <c r="AB278" s="54"/>
    </row>
    <row r="279" spans="1:28" ht="39.950000000000003" customHeight="1" x14ac:dyDescent="0.25">
      <c r="A279" s="49"/>
      <c r="B279" s="49"/>
      <c r="C279" s="49"/>
      <c r="D279" s="58"/>
      <c r="E279" s="59"/>
      <c r="F279" s="59"/>
      <c r="G279" s="59"/>
      <c r="H279" s="59"/>
      <c r="I279" s="59"/>
      <c r="J279" s="59"/>
      <c r="K279" s="59"/>
      <c r="L279" s="59"/>
      <c r="M279" s="59"/>
      <c r="N279" s="59"/>
      <c r="O279" s="59"/>
      <c r="P279" s="59"/>
      <c r="Q279" s="59"/>
      <c r="R279" s="59"/>
      <c r="S279" s="59"/>
      <c r="T279" s="59"/>
      <c r="U279" s="59"/>
      <c r="V279" s="60"/>
      <c r="W279" s="60"/>
      <c r="X279" s="60"/>
      <c r="Y279" s="60"/>
      <c r="Z279" s="60"/>
      <c r="AA279" s="61"/>
      <c r="AB279" s="55"/>
    </row>
    <row r="280" spans="1:28" ht="39.950000000000003" customHeight="1" x14ac:dyDescent="0.25">
      <c r="A280" s="49"/>
      <c r="B280" s="49"/>
      <c r="C280" s="49"/>
      <c r="D280" s="58"/>
      <c r="E280" s="58"/>
      <c r="F280" s="58"/>
      <c r="G280" s="58"/>
      <c r="H280" s="58"/>
      <c r="I280" s="58"/>
      <c r="J280" s="58"/>
      <c r="K280" s="58"/>
      <c r="L280" s="58"/>
      <c r="M280" s="58"/>
      <c r="N280" s="58"/>
      <c r="O280" s="58"/>
      <c r="P280" s="58"/>
      <c r="Q280" s="58"/>
      <c r="R280" s="58"/>
      <c r="S280" s="58"/>
      <c r="T280" s="58"/>
      <c r="U280" s="58"/>
      <c r="V280" s="62"/>
      <c r="W280" s="62"/>
      <c r="X280" s="62"/>
      <c r="Y280" s="62"/>
      <c r="Z280" s="62"/>
      <c r="AA280" s="63"/>
      <c r="AB280" s="49"/>
    </row>
    <row r="281" spans="1:28" ht="39.950000000000003" customHeight="1" x14ac:dyDescent="0.25">
      <c r="A281" s="49"/>
      <c r="B281" s="49"/>
      <c r="C281" s="49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  <c r="AA281" s="48"/>
      <c r="AB281" s="54"/>
    </row>
    <row r="282" spans="1:28" ht="39.950000000000003" customHeight="1" x14ac:dyDescent="0.25">
      <c r="A282" s="49"/>
      <c r="B282" s="49"/>
      <c r="C282" s="49"/>
      <c r="D282" s="58"/>
      <c r="E282" s="59"/>
      <c r="F282" s="59"/>
      <c r="G282" s="59"/>
      <c r="H282" s="59"/>
      <c r="I282" s="59"/>
      <c r="J282" s="59"/>
      <c r="K282" s="59"/>
      <c r="L282" s="59"/>
      <c r="M282" s="59"/>
      <c r="N282" s="59"/>
      <c r="O282" s="59"/>
      <c r="P282" s="59"/>
      <c r="Q282" s="59"/>
      <c r="R282" s="59"/>
      <c r="S282" s="59"/>
      <c r="T282" s="59"/>
      <c r="U282" s="59"/>
      <c r="V282" s="60"/>
      <c r="W282" s="60"/>
      <c r="X282" s="60"/>
      <c r="Y282" s="60"/>
      <c r="Z282" s="60"/>
      <c r="AA282" s="61"/>
      <c r="AB282" s="54"/>
    </row>
    <row r="283" spans="1:28" ht="39.950000000000003" customHeight="1" x14ac:dyDescent="0.25">
      <c r="A283" s="49"/>
      <c r="B283" s="49"/>
      <c r="C283" s="49"/>
      <c r="D283" s="58"/>
      <c r="E283" s="64"/>
      <c r="F283" s="64"/>
      <c r="G283" s="64"/>
      <c r="H283" s="64"/>
      <c r="I283" s="64"/>
      <c r="J283" s="64"/>
      <c r="K283" s="64"/>
      <c r="L283" s="64"/>
      <c r="M283" s="64"/>
      <c r="N283" s="64"/>
      <c r="O283" s="64"/>
      <c r="P283" s="64"/>
      <c r="Q283" s="64"/>
      <c r="R283" s="64"/>
      <c r="S283" s="64"/>
      <c r="T283" s="64"/>
      <c r="U283" s="64"/>
      <c r="V283" s="65"/>
      <c r="W283" s="65"/>
      <c r="X283" s="65"/>
      <c r="Y283" s="65"/>
      <c r="Z283" s="65"/>
      <c r="AA283" s="66"/>
      <c r="AB283" s="54"/>
    </row>
    <row r="284" spans="1:28" ht="39.950000000000003" customHeight="1" x14ac:dyDescent="0.25">
      <c r="A284" s="49"/>
      <c r="B284" s="49"/>
      <c r="C284" s="49"/>
      <c r="D284" s="58"/>
      <c r="E284" s="59"/>
      <c r="F284" s="59"/>
      <c r="G284" s="59"/>
      <c r="H284" s="59"/>
      <c r="I284" s="59"/>
      <c r="J284" s="59"/>
      <c r="K284" s="59"/>
      <c r="L284" s="59"/>
      <c r="M284" s="59"/>
      <c r="N284" s="59"/>
      <c r="O284" s="59"/>
      <c r="P284" s="59"/>
      <c r="Q284" s="59"/>
      <c r="R284" s="59"/>
      <c r="S284" s="59"/>
      <c r="T284" s="59"/>
      <c r="U284" s="59"/>
      <c r="V284" s="60"/>
      <c r="W284" s="60"/>
      <c r="X284" s="60"/>
      <c r="Y284" s="60"/>
      <c r="Z284" s="60"/>
      <c r="AA284" s="61"/>
      <c r="AB284" s="54"/>
    </row>
    <row r="285" spans="1:28" ht="39.950000000000003" customHeight="1" x14ac:dyDescent="0.25">
      <c r="A285" s="49"/>
      <c r="B285" s="49"/>
      <c r="C285" s="49"/>
      <c r="D285" s="58"/>
      <c r="E285" s="59"/>
      <c r="F285" s="59"/>
      <c r="G285" s="59"/>
      <c r="H285" s="59"/>
      <c r="I285" s="59"/>
      <c r="J285" s="59"/>
      <c r="K285" s="59"/>
      <c r="L285" s="59"/>
      <c r="M285" s="59"/>
      <c r="N285" s="59"/>
      <c r="O285" s="59"/>
      <c r="P285" s="59"/>
      <c r="Q285" s="59"/>
      <c r="R285" s="59"/>
      <c r="S285" s="59"/>
      <c r="T285" s="59"/>
      <c r="U285" s="59"/>
      <c r="V285" s="60"/>
      <c r="W285" s="60"/>
      <c r="X285" s="60"/>
      <c r="Y285" s="60"/>
      <c r="Z285" s="60"/>
      <c r="AA285" s="61"/>
      <c r="AB285" s="54"/>
    </row>
    <row r="286" spans="1:28" ht="39.950000000000003" customHeight="1" x14ac:dyDescent="0.25">
      <c r="A286" s="49"/>
      <c r="B286" s="49"/>
      <c r="C286" s="49"/>
      <c r="D286" s="58"/>
      <c r="E286" s="59"/>
      <c r="F286" s="59"/>
      <c r="G286" s="59"/>
      <c r="H286" s="59"/>
      <c r="I286" s="59"/>
      <c r="J286" s="59"/>
      <c r="K286" s="59"/>
      <c r="L286" s="59"/>
      <c r="M286" s="59"/>
      <c r="N286" s="59"/>
      <c r="O286" s="59"/>
      <c r="P286" s="59"/>
      <c r="Q286" s="59"/>
      <c r="R286" s="59"/>
      <c r="S286" s="59"/>
      <c r="T286" s="59"/>
      <c r="U286" s="59"/>
      <c r="V286" s="60"/>
      <c r="W286" s="60"/>
      <c r="X286" s="60"/>
      <c r="Y286" s="60"/>
      <c r="Z286" s="60"/>
      <c r="AA286" s="61"/>
      <c r="AB286" s="55"/>
    </row>
    <row r="287" spans="1:28" ht="39.950000000000003" customHeight="1" x14ac:dyDescent="0.25">
      <c r="A287" s="49"/>
      <c r="B287" s="49"/>
      <c r="C287" s="49"/>
      <c r="D287" s="58"/>
      <c r="E287" s="58"/>
      <c r="F287" s="58"/>
      <c r="G287" s="58"/>
      <c r="H287" s="58"/>
      <c r="I287" s="58"/>
      <c r="J287" s="58"/>
      <c r="K287" s="58"/>
      <c r="L287" s="58"/>
      <c r="M287" s="58"/>
      <c r="N287" s="58"/>
      <c r="O287" s="58"/>
      <c r="P287" s="58"/>
      <c r="Q287" s="58"/>
      <c r="R287" s="58"/>
      <c r="S287" s="58"/>
      <c r="T287" s="58"/>
      <c r="U287" s="58"/>
      <c r="V287" s="62"/>
      <c r="W287" s="62"/>
      <c r="X287" s="62"/>
      <c r="Y287" s="62"/>
      <c r="Z287" s="62"/>
      <c r="AA287" s="63"/>
      <c r="AB287" s="49"/>
    </row>
    <row r="288" spans="1:28" ht="39.950000000000003" customHeight="1" x14ac:dyDescent="0.25">
      <c r="A288" s="49"/>
      <c r="B288" s="49"/>
      <c r="C288" s="49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  <c r="AA288" s="48"/>
      <c r="AB288" s="54"/>
    </row>
    <row r="289" spans="1:28" ht="39.950000000000003" customHeight="1" x14ac:dyDescent="0.25">
      <c r="A289" s="49"/>
      <c r="B289" s="49"/>
      <c r="C289" s="49"/>
      <c r="D289" s="58"/>
      <c r="E289" s="59"/>
      <c r="F289" s="59"/>
      <c r="G289" s="59"/>
      <c r="H289" s="59"/>
      <c r="I289" s="59"/>
      <c r="J289" s="59"/>
      <c r="K289" s="59"/>
      <c r="L289" s="59"/>
      <c r="M289" s="59"/>
      <c r="N289" s="59"/>
      <c r="O289" s="59"/>
      <c r="P289" s="59"/>
      <c r="Q289" s="59"/>
      <c r="R289" s="59"/>
      <c r="S289" s="59"/>
      <c r="T289" s="59"/>
      <c r="U289" s="59"/>
      <c r="V289" s="60"/>
      <c r="W289" s="60"/>
      <c r="X289" s="60"/>
      <c r="Y289" s="60"/>
      <c r="Z289" s="60"/>
      <c r="AA289" s="61"/>
      <c r="AB289" s="54"/>
    </row>
    <row r="290" spans="1:28" ht="39.950000000000003" customHeight="1" x14ac:dyDescent="0.25">
      <c r="A290" s="49"/>
      <c r="B290" s="49"/>
      <c r="C290" s="49"/>
      <c r="D290" s="58"/>
      <c r="E290" s="64"/>
      <c r="F290" s="64"/>
      <c r="G290" s="64"/>
      <c r="H290" s="64"/>
      <c r="I290" s="64"/>
      <c r="J290" s="64"/>
      <c r="K290" s="64"/>
      <c r="L290" s="64"/>
      <c r="M290" s="64"/>
      <c r="N290" s="64"/>
      <c r="O290" s="64"/>
      <c r="P290" s="64"/>
      <c r="Q290" s="64"/>
      <c r="R290" s="64"/>
      <c r="S290" s="64"/>
      <c r="T290" s="64"/>
      <c r="U290" s="64"/>
      <c r="V290" s="65"/>
      <c r="W290" s="65"/>
      <c r="X290" s="65"/>
      <c r="Y290" s="65"/>
      <c r="Z290" s="65"/>
      <c r="AA290" s="66"/>
      <c r="AB290" s="54"/>
    </row>
    <row r="291" spans="1:28" ht="39.950000000000003" customHeight="1" x14ac:dyDescent="0.25">
      <c r="A291" s="49"/>
      <c r="B291" s="49"/>
      <c r="C291" s="49"/>
      <c r="D291" s="58"/>
      <c r="E291" s="59"/>
      <c r="F291" s="59"/>
      <c r="G291" s="59"/>
      <c r="H291" s="59"/>
      <c r="I291" s="59"/>
      <c r="J291" s="59"/>
      <c r="K291" s="59"/>
      <c r="L291" s="59"/>
      <c r="M291" s="59"/>
      <c r="N291" s="59"/>
      <c r="O291" s="59"/>
      <c r="P291" s="59"/>
      <c r="Q291" s="59"/>
      <c r="R291" s="59"/>
      <c r="S291" s="59"/>
      <c r="T291" s="59"/>
      <c r="U291" s="59"/>
      <c r="V291" s="60"/>
      <c r="W291" s="60"/>
      <c r="X291" s="60"/>
      <c r="Y291" s="60"/>
      <c r="Z291" s="60"/>
      <c r="AA291" s="61"/>
      <c r="AB291" s="54"/>
    </row>
    <row r="292" spans="1:28" ht="39.950000000000003" customHeight="1" x14ac:dyDescent="0.25">
      <c r="A292" s="49"/>
      <c r="B292" s="49"/>
      <c r="C292" s="49"/>
      <c r="D292" s="58"/>
      <c r="E292" s="59"/>
      <c r="F292" s="59"/>
      <c r="G292" s="59"/>
      <c r="H292" s="59"/>
      <c r="I292" s="59"/>
      <c r="J292" s="59"/>
      <c r="K292" s="59"/>
      <c r="L292" s="59"/>
      <c r="M292" s="59"/>
      <c r="N292" s="59"/>
      <c r="O292" s="59"/>
      <c r="P292" s="59"/>
      <c r="Q292" s="59"/>
      <c r="R292" s="59"/>
      <c r="S292" s="59"/>
      <c r="T292" s="59"/>
      <c r="U292" s="59"/>
      <c r="V292" s="60"/>
      <c r="W292" s="60"/>
      <c r="X292" s="60"/>
      <c r="Y292" s="60"/>
      <c r="Z292" s="60"/>
      <c r="AA292" s="61"/>
      <c r="AB292" s="54"/>
    </row>
    <row r="293" spans="1:28" ht="39.950000000000003" customHeight="1" x14ac:dyDescent="0.25">
      <c r="A293" s="49"/>
      <c r="B293" s="49"/>
      <c r="C293" s="49"/>
      <c r="D293" s="58"/>
      <c r="E293" s="59"/>
      <c r="F293" s="59"/>
      <c r="G293" s="59"/>
      <c r="H293" s="59"/>
      <c r="I293" s="59"/>
      <c r="J293" s="59"/>
      <c r="K293" s="59"/>
      <c r="L293" s="59"/>
      <c r="M293" s="59"/>
      <c r="N293" s="59"/>
      <c r="O293" s="59"/>
      <c r="P293" s="59"/>
      <c r="Q293" s="59"/>
      <c r="R293" s="59"/>
      <c r="S293" s="59"/>
      <c r="T293" s="59"/>
      <c r="U293" s="59"/>
      <c r="V293" s="60"/>
      <c r="W293" s="60"/>
      <c r="X293" s="60"/>
      <c r="Y293" s="60"/>
      <c r="Z293" s="60"/>
      <c r="AA293" s="61"/>
      <c r="AB293" s="55"/>
    </row>
    <row r="294" spans="1:28" ht="39.950000000000003" customHeight="1" x14ac:dyDescent="0.25">
      <c r="A294" s="49"/>
      <c r="B294" s="49"/>
      <c r="C294" s="49"/>
      <c r="D294" s="58"/>
      <c r="E294" s="58"/>
      <c r="F294" s="58"/>
      <c r="G294" s="58"/>
      <c r="H294" s="58"/>
      <c r="I294" s="58"/>
      <c r="J294" s="58"/>
      <c r="K294" s="58"/>
      <c r="L294" s="58"/>
      <c r="M294" s="58"/>
      <c r="N294" s="58"/>
      <c r="O294" s="58"/>
      <c r="P294" s="58"/>
      <c r="Q294" s="58"/>
      <c r="R294" s="58"/>
      <c r="S294" s="58"/>
      <c r="T294" s="58"/>
      <c r="U294" s="58"/>
      <c r="V294" s="62"/>
      <c r="W294" s="62"/>
      <c r="X294" s="62"/>
      <c r="Y294" s="62"/>
      <c r="Z294" s="62"/>
      <c r="AA294" s="63"/>
      <c r="AB294" s="49"/>
    </row>
    <row r="295" spans="1:28" ht="39.950000000000003" customHeight="1" x14ac:dyDescent="0.25">
      <c r="A295" s="49"/>
      <c r="B295" s="49"/>
      <c r="C295" s="49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  <c r="AA295" s="48"/>
      <c r="AB295" s="54"/>
    </row>
    <row r="296" spans="1:28" ht="39.950000000000003" customHeight="1" x14ac:dyDescent="0.25">
      <c r="A296" s="49"/>
      <c r="B296" s="49"/>
      <c r="C296" s="49"/>
      <c r="D296" s="58"/>
      <c r="E296" s="59"/>
      <c r="F296" s="59"/>
      <c r="G296" s="59"/>
      <c r="H296" s="59"/>
      <c r="I296" s="59"/>
      <c r="J296" s="59"/>
      <c r="K296" s="59"/>
      <c r="L296" s="59"/>
      <c r="M296" s="59"/>
      <c r="N296" s="59"/>
      <c r="O296" s="59"/>
      <c r="P296" s="59"/>
      <c r="Q296" s="59"/>
      <c r="R296" s="59"/>
      <c r="S296" s="59"/>
      <c r="T296" s="59"/>
      <c r="U296" s="59"/>
      <c r="V296" s="60"/>
      <c r="W296" s="60"/>
      <c r="X296" s="60"/>
      <c r="Y296" s="60"/>
      <c r="Z296" s="60"/>
      <c r="AA296" s="61"/>
      <c r="AB296" s="54"/>
    </row>
    <row r="297" spans="1:28" ht="39.950000000000003" customHeight="1" x14ac:dyDescent="0.25">
      <c r="A297" s="49"/>
      <c r="B297" s="49"/>
      <c r="C297" s="49"/>
      <c r="D297" s="58"/>
      <c r="E297" s="64"/>
      <c r="F297" s="64"/>
      <c r="G297" s="64"/>
      <c r="H297" s="64"/>
      <c r="I297" s="64"/>
      <c r="J297" s="64"/>
      <c r="K297" s="64"/>
      <c r="L297" s="64"/>
      <c r="M297" s="64"/>
      <c r="N297" s="64"/>
      <c r="O297" s="64"/>
      <c r="P297" s="64"/>
      <c r="Q297" s="64"/>
      <c r="R297" s="64"/>
      <c r="S297" s="64"/>
      <c r="T297" s="64"/>
      <c r="U297" s="64"/>
      <c r="V297" s="65"/>
      <c r="W297" s="65"/>
      <c r="X297" s="65"/>
      <c r="Y297" s="65"/>
      <c r="Z297" s="65"/>
      <c r="AA297" s="66"/>
      <c r="AB297" s="54"/>
    </row>
    <row r="298" spans="1:28" ht="39.950000000000003" customHeight="1" x14ac:dyDescent="0.25">
      <c r="A298" s="49"/>
      <c r="B298" s="49"/>
      <c r="C298" s="49"/>
      <c r="D298" s="58"/>
      <c r="E298" s="59"/>
      <c r="F298" s="59"/>
      <c r="G298" s="59"/>
      <c r="H298" s="59"/>
      <c r="I298" s="59"/>
      <c r="J298" s="59"/>
      <c r="K298" s="59"/>
      <c r="L298" s="59"/>
      <c r="M298" s="59"/>
      <c r="N298" s="59"/>
      <c r="O298" s="59"/>
      <c r="P298" s="59"/>
      <c r="Q298" s="59"/>
      <c r="R298" s="59"/>
      <c r="S298" s="59"/>
      <c r="T298" s="59"/>
      <c r="U298" s="59"/>
      <c r="V298" s="60"/>
      <c r="W298" s="60"/>
      <c r="X298" s="60"/>
      <c r="Y298" s="60"/>
      <c r="Z298" s="60"/>
      <c r="AA298" s="61"/>
      <c r="AB298" s="54"/>
    </row>
    <row r="299" spans="1:28" ht="39.950000000000003" customHeight="1" x14ac:dyDescent="0.25">
      <c r="A299" s="49"/>
      <c r="B299" s="49"/>
      <c r="C299" s="49"/>
      <c r="D299" s="58"/>
      <c r="E299" s="59"/>
      <c r="F299" s="59"/>
      <c r="G299" s="59"/>
      <c r="H299" s="59"/>
      <c r="I299" s="59"/>
      <c r="J299" s="59"/>
      <c r="K299" s="59"/>
      <c r="L299" s="59"/>
      <c r="M299" s="59"/>
      <c r="N299" s="59"/>
      <c r="O299" s="59"/>
      <c r="P299" s="59"/>
      <c r="Q299" s="59"/>
      <c r="R299" s="59"/>
      <c r="S299" s="59"/>
      <c r="T299" s="59"/>
      <c r="U299" s="59"/>
      <c r="V299" s="60"/>
      <c r="W299" s="60"/>
      <c r="X299" s="60"/>
      <c r="Y299" s="60"/>
      <c r="Z299" s="60"/>
      <c r="AA299" s="61"/>
      <c r="AB299" s="54"/>
    </row>
    <row r="300" spans="1:28" ht="39.950000000000003" customHeight="1" x14ac:dyDescent="0.25">
      <c r="A300" s="49"/>
      <c r="B300" s="49"/>
      <c r="C300" s="49"/>
      <c r="D300" s="58"/>
      <c r="E300" s="59"/>
      <c r="F300" s="59"/>
      <c r="G300" s="59"/>
      <c r="H300" s="59"/>
      <c r="I300" s="59"/>
      <c r="J300" s="59"/>
      <c r="K300" s="59"/>
      <c r="L300" s="59"/>
      <c r="M300" s="59"/>
      <c r="N300" s="59"/>
      <c r="O300" s="59"/>
      <c r="P300" s="59"/>
      <c r="Q300" s="59"/>
      <c r="R300" s="59"/>
      <c r="S300" s="59"/>
      <c r="T300" s="59"/>
      <c r="U300" s="59"/>
      <c r="V300" s="60"/>
      <c r="W300" s="60"/>
      <c r="X300" s="60"/>
      <c r="Y300" s="60"/>
      <c r="Z300" s="60"/>
      <c r="AA300" s="61"/>
      <c r="AB300" s="55"/>
    </row>
    <row r="301" spans="1:28" ht="39.950000000000003" customHeight="1" x14ac:dyDescent="0.25">
      <c r="A301" s="49"/>
      <c r="B301" s="49"/>
      <c r="C301" s="49"/>
      <c r="D301" s="58"/>
      <c r="E301" s="58"/>
      <c r="F301" s="58"/>
      <c r="G301" s="58"/>
      <c r="H301" s="58"/>
      <c r="I301" s="58"/>
      <c r="J301" s="58"/>
      <c r="K301" s="58"/>
      <c r="L301" s="58"/>
      <c r="M301" s="58"/>
      <c r="N301" s="58"/>
      <c r="O301" s="58"/>
      <c r="P301" s="58"/>
      <c r="Q301" s="58"/>
      <c r="R301" s="58"/>
      <c r="S301" s="58"/>
      <c r="T301" s="58"/>
      <c r="U301" s="58"/>
      <c r="V301" s="62"/>
      <c r="W301" s="62"/>
      <c r="X301" s="62"/>
      <c r="Y301" s="62"/>
      <c r="Z301" s="62"/>
      <c r="AA301" s="63"/>
      <c r="AB301" s="49"/>
    </row>
    <row r="302" spans="1:28" ht="39.950000000000003" customHeight="1" x14ac:dyDescent="0.25">
      <c r="A302" s="49"/>
      <c r="B302" s="49"/>
      <c r="C302" s="49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  <c r="AA302" s="48"/>
      <c r="AB302" s="54"/>
    </row>
    <row r="303" spans="1:28" ht="39.950000000000003" customHeight="1" x14ac:dyDescent="0.25">
      <c r="A303" s="49"/>
      <c r="B303" s="49"/>
      <c r="C303" s="49"/>
      <c r="D303" s="58"/>
      <c r="E303" s="59"/>
      <c r="F303" s="59"/>
      <c r="G303" s="59"/>
      <c r="H303" s="59"/>
      <c r="I303" s="59"/>
      <c r="J303" s="59"/>
      <c r="K303" s="59"/>
      <c r="L303" s="59"/>
      <c r="M303" s="59"/>
      <c r="N303" s="59"/>
      <c r="O303" s="59"/>
      <c r="P303" s="59"/>
      <c r="Q303" s="59"/>
      <c r="R303" s="59"/>
      <c r="S303" s="59"/>
      <c r="T303" s="59"/>
      <c r="U303" s="59"/>
      <c r="V303" s="60"/>
      <c r="W303" s="60"/>
      <c r="X303" s="60"/>
      <c r="Y303" s="60"/>
      <c r="Z303" s="60"/>
      <c r="AA303" s="61"/>
      <c r="AB303" s="54"/>
    </row>
    <row r="304" spans="1:28" ht="39.950000000000003" customHeight="1" x14ac:dyDescent="0.25">
      <c r="A304" s="49"/>
      <c r="B304" s="49"/>
      <c r="C304" s="49"/>
      <c r="D304" s="58"/>
      <c r="E304" s="59"/>
      <c r="F304" s="59"/>
      <c r="G304" s="59"/>
      <c r="H304" s="59"/>
      <c r="I304" s="59"/>
      <c r="J304" s="59"/>
      <c r="K304" s="59"/>
      <c r="L304" s="59"/>
      <c r="M304" s="59"/>
      <c r="N304" s="59"/>
      <c r="O304" s="59"/>
      <c r="P304" s="59"/>
      <c r="Q304" s="59"/>
      <c r="R304" s="59"/>
      <c r="S304" s="59"/>
      <c r="T304" s="59"/>
      <c r="U304" s="59"/>
      <c r="V304" s="60"/>
      <c r="W304" s="60"/>
      <c r="X304" s="60"/>
      <c r="Y304" s="60"/>
      <c r="Z304" s="60"/>
      <c r="AA304" s="61"/>
      <c r="AB304" s="54"/>
    </row>
    <row r="305" spans="1:28" ht="39.950000000000003" customHeight="1" x14ac:dyDescent="0.25">
      <c r="A305" s="49"/>
      <c r="B305" s="49"/>
      <c r="C305" s="49"/>
      <c r="D305" s="58"/>
      <c r="E305" s="59"/>
      <c r="F305" s="59"/>
      <c r="G305" s="59"/>
      <c r="H305" s="59"/>
      <c r="I305" s="59"/>
      <c r="J305" s="59"/>
      <c r="K305" s="59"/>
      <c r="L305" s="59"/>
      <c r="M305" s="59"/>
      <c r="N305" s="59"/>
      <c r="O305" s="59"/>
      <c r="P305" s="59"/>
      <c r="Q305" s="59"/>
      <c r="R305" s="59"/>
      <c r="S305" s="59"/>
      <c r="T305" s="59"/>
      <c r="U305" s="59"/>
      <c r="V305" s="60"/>
      <c r="W305" s="60"/>
      <c r="X305" s="60"/>
      <c r="Y305" s="60"/>
      <c r="Z305" s="60"/>
      <c r="AA305" s="61"/>
      <c r="AB305" s="54"/>
    </row>
    <row r="306" spans="1:28" ht="39.950000000000003" customHeight="1" x14ac:dyDescent="0.25">
      <c r="A306" s="49"/>
      <c r="B306" s="49"/>
      <c r="C306" s="49"/>
      <c r="D306" s="58"/>
      <c r="E306" s="59"/>
      <c r="F306" s="59"/>
      <c r="G306" s="59"/>
      <c r="H306" s="59"/>
      <c r="I306" s="59"/>
      <c r="J306" s="59"/>
      <c r="K306" s="59"/>
      <c r="L306" s="59"/>
      <c r="M306" s="59"/>
      <c r="N306" s="59"/>
      <c r="O306" s="59"/>
      <c r="P306" s="59"/>
      <c r="Q306" s="59"/>
      <c r="R306" s="59"/>
      <c r="S306" s="59"/>
      <c r="T306" s="59"/>
      <c r="U306" s="59"/>
      <c r="V306" s="60"/>
      <c r="W306" s="60"/>
      <c r="X306" s="60"/>
      <c r="Y306" s="60"/>
      <c r="Z306" s="60"/>
      <c r="AA306" s="61"/>
      <c r="AB306" s="54"/>
    </row>
    <row r="307" spans="1:28" ht="39.950000000000003" customHeight="1" x14ac:dyDescent="0.25">
      <c r="A307" s="49"/>
      <c r="B307" s="49"/>
      <c r="C307" s="49"/>
      <c r="D307" s="58"/>
      <c r="E307" s="59"/>
      <c r="F307" s="59"/>
      <c r="G307" s="59"/>
      <c r="H307" s="59"/>
      <c r="I307" s="59"/>
      <c r="J307" s="59"/>
      <c r="K307" s="59"/>
      <c r="L307" s="59"/>
      <c r="M307" s="59"/>
      <c r="N307" s="59"/>
      <c r="O307" s="59"/>
      <c r="P307" s="59"/>
      <c r="Q307" s="59"/>
      <c r="R307" s="59"/>
      <c r="S307" s="59"/>
      <c r="T307" s="59"/>
      <c r="U307" s="59"/>
      <c r="V307" s="60"/>
      <c r="W307" s="60"/>
      <c r="X307" s="60"/>
      <c r="Y307" s="60"/>
      <c r="Z307" s="60"/>
      <c r="AA307" s="61"/>
      <c r="AB307" s="55"/>
    </row>
    <row r="308" spans="1:28" ht="39.950000000000003" customHeight="1" x14ac:dyDescent="0.25">
      <c r="A308" s="49"/>
      <c r="B308" s="49"/>
      <c r="C308" s="49"/>
      <c r="D308" s="58"/>
      <c r="E308" s="58"/>
      <c r="F308" s="58"/>
      <c r="G308" s="58"/>
      <c r="H308" s="58"/>
      <c r="I308" s="58"/>
      <c r="J308" s="58"/>
      <c r="K308" s="58"/>
      <c r="L308" s="58"/>
      <c r="M308" s="58"/>
      <c r="N308" s="58"/>
      <c r="O308" s="58"/>
      <c r="P308" s="58"/>
      <c r="Q308" s="58"/>
      <c r="R308" s="58"/>
      <c r="S308" s="58"/>
      <c r="T308" s="58"/>
      <c r="U308" s="58"/>
      <c r="V308" s="62"/>
      <c r="W308" s="62"/>
      <c r="X308" s="62"/>
      <c r="Y308" s="62"/>
      <c r="Z308" s="62"/>
      <c r="AA308" s="63"/>
      <c r="AB308" s="49"/>
    </row>
    <row r="309" spans="1:28" ht="39.950000000000003" customHeight="1" x14ac:dyDescent="0.25">
      <c r="A309" s="49"/>
      <c r="B309" s="49"/>
      <c r="C309" s="49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  <c r="AA309" s="48"/>
      <c r="AB309" s="54"/>
    </row>
    <row r="310" spans="1:28" ht="39.950000000000003" customHeight="1" x14ac:dyDescent="0.25">
      <c r="A310" s="49"/>
      <c r="B310" s="49"/>
      <c r="C310" s="49"/>
      <c r="D310" s="58"/>
      <c r="E310" s="59"/>
      <c r="F310" s="59"/>
      <c r="G310" s="59"/>
      <c r="H310" s="59"/>
      <c r="I310" s="59"/>
      <c r="J310" s="59"/>
      <c r="K310" s="59"/>
      <c r="L310" s="59"/>
      <c r="M310" s="59"/>
      <c r="N310" s="59"/>
      <c r="O310" s="59"/>
      <c r="P310" s="59"/>
      <c r="Q310" s="59"/>
      <c r="R310" s="59"/>
      <c r="S310" s="59"/>
      <c r="T310" s="59"/>
      <c r="U310" s="59"/>
      <c r="V310" s="60"/>
      <c r="W310" s="60"/>
      <c r="X310" s="60"/>
      <c r="Y310" s="60"/>
      <c r="Z310" s="60"/>
      <c r="AA310" s="61"/>
      <c r="AB310" s="54"/>
    </row>
    <row r="311" spans="1:28" ht="39.950000000000003" customHeight="1" x14ac:dyDescent="0.25">
      <c r="A311" s="49"/>
      <c r="B311" s="49"/>
      <c r="C311" s="49"/>
      <c r="D311" s="58"/>
      <c r="E311" s="59"/>
      <c r="F311" s="59"/>
      <c r="G311" s="59"/>
      <c r="H311" s="59"/>
      <c r="I311" s="59"/>
      <c r="J311" s="59"/>
      <c r="K311" s="59"/>
      <c r="L311" s="59"/>
      <c r="M311" s="59"/>
      <c r="N311" s="59"/>
      <c r="O311" s="59"/>
      <c r="P311" s="59"/>
      <c r="Q311" s="59"/>
      <c r="R311" s="59"/>
      <c r="S311" s="59"/>
      <c r="T311" s="59"/>
      <c r="U311" s="59"/>
      <c r="V311" s="60"/>
      <c r="W311" s="60"/>
      <c r="X311" s="60"/>
      <c r="Y311" s="60"/>
      <c r="Z311" s="60"/>
      <c r="AA311" s="61"/>
      <c r="AB311" s="54"/>
    </row>
    <row r="312" spans="1:28" ht="39.950000000000003" customHeight="1" x14ac:dyDescent="0.25">
      <c r="A312" s="49"/>
      <c r="B312" s="49"/>
      <c r="C312" s="49"/>
      <c r="D312" s="58"/>
      <c r="E312" s="64"/>
      <c r="F312" s="64"/>
      <c r="G312" s="64"/>
      <c r="H312" s="64"/>
      <c r="I312" s="64"/>
      <c r="J312" s="64"/>
      <c r="K312" s="64"/>
      <c r="L312" s="64"/>
      <c r="M312" s="64"/>
      <c r="N312" s="64"/>
      <c r="O312" s="64"/>
      <c r="P312" s="64"/>
      <c r="Q312" s="64"/>
      <c r="R312" s="64"/>
      <c r="S312" s="64"/>
      <c r="T312" s="64"/>
      <c r="U312" s="64"/>
      <c r="V312" s="65"/>
      <c r="W312" s="65"/>
      <c r="X312" s="65"/>
      <c r="Y312" s="65"/>
      <c r="Z312" s="65"/>
      <c r="AA312" s="66"/>
      <c r="AB312" s="54"/>
    </row>
    <row r="313" spans="1:28" ht="39.950000000000003" customHeight="1" x14ac:dyDescent="0.25">
      <c r="A313" s="49"/>
      <c r="B313" s="49"/>
      <c r="C313" s="49"/>
      <c r="D313" s="58"/>
      <c r="E313" s="59"/>
      <c r="F313" s="59"/>
      <c r="G313" s="59"/>
      <c r="H313" s="59"/>
      <c r="I313" s="59"/>
      <c r="J313" s="59"/>
      <c r="K313" s="59"/>
      <c r="L313" s="59"/>
      <c r="M313" s="59"/>
      <c r="N313" s="59"/>
      <c r="O313" s="59"/>
      <c r="P313" s="59"/>
      <c r="Q313" s="59"/>
      <c r="R313" s="59"/>
      <c r="S313" s="59"/>
      <c r="T313" s="59"/>
      <c r="U313" s="59"/>
      <c r="V313" s="60"/>
      <c r="W313" s="60"/>
      <c r="X313" s="60"/>
      <c r="Y313" s="60"/>
      <c r="Z313" s="60"/>
      <c r="AA313" s="61"/>
      <c r="AB313" s="54"/>
    </row>
    <row r="314" spans="1:28" ht="39.950000000000003" customHeight="1" x14ac:dyDescent="0.25">
      <c r="A314" s="49"/>
      <c r="B314" s="49"/>
      <c r="C314" s="49"/>
      <c r="D314" s="58"/>
      <c r="E314" s="59"/>
      <c r="F314" s="59"/>
      <c r="G314" s="59"/>
      <c r="H314" s="59"/>
      <c r="I314" s="59"/>
      <c r="J314" s="59"/>
      <c r="K314" s="59"/>
      <c r="L314" s="59"/>
      <c r="M314" s="59"/>
      <c r="N314" s="59"/>
      <c r="O314" s="59"/>
      <c r="P314" s="59"/>
      <c r="Q314" s="59"/>
      <c r="R314" s="59"/>
      <c r="S314" s="59"/>
      <c r="T314" s="59"/>
      <c r="U314" s="59"/>
      <c r="V314" s="60"/>
      <c r="W314" s="60"/>
      <c r="X314" s="60"/>
      <c r="Y314" s="60"/>
      <c r="Z314" s="60"/>
      <c r="AA314" s="61"/>
      <c r="AB314" s="54"/>
    </row>
    <row r="315" spans="1:28" ht="39.950000000000003" customHeight="1" x14ac:dyDescent="0.25">
      <c r="A315" s="49"/>
      <c r="B315" s="49"/>
      <c r="C315" s="49"/>
      <c r="D315" s="58"/>
      <c r="E315" s="59"/>
      <c r="F315" s="59"/>
      <c r="G315" s="59"/>
      <c r="H315" s="59"/>
      <c r="I315" s="59"/>
      <c r="J315" s="59"/>
      <c r="K315" s="59"/>
      <c r="L315" s="59"/>
      <c r="M315" s="59"/>
      <c r="N315" s="59"/>
      <c r="O315" s="59"/>
      <c r="P315" s="59"/>
      <c r="Q315" s="59"/>
      <c r="R315" s="59"/>
      <c r="S315" s="59"/>
      <c r="T315" s="59"/>
      <c r="U315" s="59"/>
      <c r="V315" s="60"/>
      <c r="W315" s="60"/>
      <c r="X315" s="60"/>
      <c r="Y315" s="60"/>
      <c r="Z315" s="60"/>
      <c r="AA315" s="61"/>
      <c r="AB315" s="54"/>
    </row>
    <row r="316" spans="1:28" ht="39.950000000000003" customHeight="1" x14ac:dyDescent="0.25">
      <c r="A316" s="49"/>
      <c r="B316" s="49"/>
      <c r="C316" s="49"/>
      <c r="D316" s="58"/>
      <c r="E316" s="59"/>
      <c r="F316" s="59"/>
      <c r="G316" s="59"/>
      <c r="H316" s="59"/>
      <c r="I316" s="59"/>
      <c r="J316" s="59"/>
      <c r="K316" s="59"/>
      <c r="L316" s="59"/>
      <c r="M316" s="59"/>
      <c r="N316" s="59"/>
      <c r="O316" s="59"/>
      <c r="P316" s="59"/>
      <c r="Q316" s="59"/>
      <c r="R316" s="59"/>
      <c r="S316" s="59"/>
      <c r="T316" s="59"/>
      <c r="U316" s="59"/>
      <c r="V316" s="60"/>
      <c r="W316" s="60"/>
      <c r="X316" s="60"/>
      <c r="Y316" s="60"/>
      <c r="Z316" s="60"/>
      <c r="AA316" s="61"/>
      <c r="AB316" s="55"/>
    </row>
    <row r="317" spans="1:28" ht="39.950000000000003" customHeight="1" x14ac:dyDescent="0.25">
      <c r="A317" s="49"/>
      <c r="B317" s="49"/>
      <c r="C317" s="49"/>
      <c r="D317" s="58"/>
      <c r="E317" s="58"/>
      <c r="F317" s="58"/>
      <c r="G317" s="58"/>
      <c r="H317" s="58"/>
      <c r="I317" s="58"/>
      <c r="J317" s="58"/>
      <c r="K317" s="58"/>
      <c r="L317" s="58"/>
      <c r="M317" s="58"/>
      <c r="N317" s="58"/>
      <c r="O317" s="58"/>
      <c r="P317" s="58"/>
      <c r="Q317" s="58"/>
      <c r="R317" s="58"/>
      <c r="S317" s="58"/>
      <c r="T317" s="58"/>
      <c r="U317" s="58"/>
      <c r="V317" s="62"/>
      <c r="W317" s="62"/>
      <c r="X317" s="62"/>
      <c r="Y317" s="62"/>
      <c r="Z317" s="62"/>
      <c r="AA317" s="63"/>
      <c r="AB317" s="49"/>
    </row>
    <row r="318" spans="1:28" ht="39.950000000000003" customHeight="1" x14ac:dyDescent="0.25">
      <c r="A318" s="49"/>
      <c r="B318" s="49"/>
      <c r="C318" s="49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  <c r="AA318" s="48"/>
      <c r="AB318" s="54"/>
    </row>
    <row r="319" spans="1:28" ht="39.950000000000003" customHeight="1" x14ac:dyDescent="0.25">
      <c r="A319" s="49"/>
      <c r="B319" s="49"/>
      <c r="C319" s="49"/>
      <c r="D319" s="58"/>
      <c r="E319" s="59"/>
      <c r="F319" s="59"/>
      <c r="G319" s="59"/>
      <c r="H319" s="59"/>
      <c r="I319" s="59"/>
      <c r="J319" s="59"/>
      <c r="K319" s="59"/>
      <c r="L319" s="59"/>
      <c r="M319" s="59"/>
      <c r="N319" s="59"/>
      <c r="O319" s="59"/>
      <c r="P319" s="59"/>
      <c r="Q319" s="59"/>
      <c r="R319" s="59"/>
      <c r="S319" s="59"/>
      <c r="T319" s="59"/>
      <c r="U319" s="59"/>
      <c r="V319" s="60"/>
      <c r="W319" s="60"/>
      <c r="X319" s="60"/>
      <c r="Y319" s="60"/>
      <c r="Z319" s="60"/>
      <c r="AA319" s="61"/>
      <c r="AB319" s="54"/>
    </row>
    <row r="320" spans="1:28" ht="39.950000000000003" customHeight="1" x14ac:dyDescent="0.25">
      <c r="A320" s="49"/>
      <c r="B320" s="49"/>
      <c r="C320" s="49"/>
      <c r="D320" s="58"/>
      <c r="E320" s="59"/>
      <c r="F320" s="59"/>
      <c r="G320" s="59"/>
      <c r="H320" s="59"/>
      <c r="I320" s="59"/>
      <c r="J320" s="59"/>
      <c r="K320" s="59"/>
      <c r="L320" s="59"/>
      <c r="M320" s="59"/>
      <c r="N320" s="59"/>
      <c r="O320" s="59"/>
      <c r="P320" s="59"/>
      <c r="Q320" s="59"/>
      <c r="R320" s="59"/>
      <c r="S320" s="59"/>
      <c r="T320" s="59"/>
      <c r="U320" s="59"/>
      <c r="V320" s="60"/>
      <c r="W320" s="60"/>
      <c r="X320" s="60"/>
      <c r="Y320" s="60"/>
      <c r="Z320" s="60"/>
      <c r="AA320" s="61"/>
      <c r="AB320" s="54"/>
    </row>
    <row r="321" spans="1:28" ht="39.950000000000003" customHeight="1" x14ac:dyDescent="0.25">
      <c r="A321" s="49"/>
      <c r="B321" s="49"/>
      <c r="C321" s="49"/>
      <c r="D321" s="58"/>
      <c r="E321" s="59"/>
      <c r="F321" s="59"/>
      <c r="G321" s="59"/>
      <c r="H321" s="59"/>
      <c r="I321" s="59"/>
      <c r="J321" s="59"/>
      <c r="K321" s="59"/>
      <c r="L321" s="59"/>
      <c r="M321" s="59"/>
      <c r="N321" s="59"/>
      <c r="O321" s="59"/>
      <c r="P321" s="59"/>
      <c r="Q321" s="59"/>
      <c r="R321" s="59"/>
      <c r="S321" s="59"/>
      <c r="T321" s="59"/>
      <c r="U321" s="59"/>
      <c r="V321" s="60"/>
      <c r="W321" s="60"/>
      <c r="X321" s="60"/>
      <c r="Y321" s="60"/>
      <c r="Z321" s="60"/>
      <c r="AA321" s="61"/>
      <c r="AB321" s="54"/>
    </row>
    <row r="322" spans="1:28" ht="39.950000000000003" customHeight="1" x14ac:dyDescent="0.25">
      <c r="A322" s="49"/>
      <c r="B322" s="49"/>
      <c r="C322" s="49"/>
      <c r="D322" s="58"/>
      <c r="E322" s="59"/>
      <c r="F322" s="59"/>
      <c r="G322" s="59"/>
      <c r="H322" s="59"/>
      <c r="I322" s="59"/>
      <c r="J322" s="59"/>
      <c r="K322" s="59"/>
      <c r="L322" s="59"/>
      <c r="M322" s="59"/>
      <c r="N322" s="59"/>
      <c r="O322" s="59"/>
      <c r="P322" s="59"/>
      <c r="Q322" s="59"/>
      <c r="R322" s="59"/>
      <c r="S322" s="59"/>
      <c r="T322" s="59"/>
      <c r="U322" s="59"/>
      <c r="V322" s="60"/>
      <c r="W322" s="60"/>
      <c r="X322" s="60"/>
      <c r="Y322" s="60"/>
      <c r="Z322" s="60"/>
      <c r="AA322" s="61"/>
      <c r="AB322" s="54"/>
    </row>
    <row r="323" spans="1:28" ht="39.950000000000003" customHeight="1" x14ac:dyDescent="0.25">
      <c r="A323" s="49"/>
      <c r="B323" s="49"/>
      <c r="C323" s="49"/>
      <c r="D323" s="58"/>
      <c r="E323" s="59"/>
      <c r="F323" s="59"/>
      <c r="G323" s="59"/>
      <c r="H323" s="59"/>
      <c r="I323" s="59"/>
      <c r="J323" s="59"/>
      <c r="K323" s="59"/>
      <c r="L323" s="59"/>
      <c r="M323" s="59"/>
      <c r="N323" s="59"/>
      <c r="O323" s="59"/>
      <c r="P323" s="59"/>
      <c r="Q323" s="59"/>
      <c r="R323" s="59"/>
      <c r="S323" s="59"/>
      <c r="T323" s="59"/>
      <c r="U323" s="59"/>
      <c r="V323" s="60"/>
      <c r="W323" s="60"/>
      <c r="X323" s="60"/>
      <c r="Y323" s="60"/>
      <c r="Z323" s="60"/>
      <c r="AA323" s="61"/>
      <c r="AB323" s="54"/>
    </row>
    <row r="324" spans="1:28" ht="39.950000000000003" customHeight="1" x14ac:dyDescent="0.25">
      <c r="A324" s="49"/>
      <c r="B324" s="49"/>
      <c r="C324" s="49"/>
      <c r="D324" s="58"/>
      <c r="E324" s="59"/>
      <c r="F324" s="59"/>
      <c r="G324" s="59"/>
      <c r="H324" s="59"/>
      <c r="I324" s="59"/>
      <c r="J324" s="59"/>
      <c r="K324" s="59"/>
      <c r="L324" s="59"/>
      <c r="M324" s="59"/>
      <c r="N324" s="59"/>
      <c r="O324" s="59"/>
      <c r="P324" s="59"/>
      <c r="Q324" s="59"/>
      <c r="R324" s="59"/>
      <c r="S324" s="59"/>
      <c r="T324" s="59"/>
      <c r="U324" s="59"/>
      <c r="V324" s="60"/>
      <c r="W324" s="60"/>
      <c r="X324" s="60"/>
      <c r="Y324" s="60"/>
      <c r="Z324" s="60"/>
      <c r="AA324" s="61"/>
      <c r="AB324" s="55"/>
    </row>
    <row r="325" spans="1:28" ht="39.950000000000003" customHeight="1" x14ac:dyDescent="0.25">
      <c r="A325" s="49"/>
      <c r="B325" s="49"/>
      <c r="C325" s="49"/>
      <c r="D325" s="58"/>
      <c r="E325" s="58"/>
      <c r="F325" s="58"/>
      <c r="G325" s="58"/>
      <c r="H325" s="58"/>
      <c r="I325" s="58"/>
      <c r="J325" s="58"/>
      <c r="K325" s="58"/>
      <c r="L325" s="58"/>
      <c r="M325" s="58"/>
      <c r="N325" s="58"/>
      <c r="O325" s="58"/>
      <c r="P325" s="58"/>
      <c r="Q325" s="58"/>
      <c r="R325" s="58"/>
      <c r="S325" s="58"/>
      <c r="T325" s="58"/>
      <c r="U325" s="58"/>
      <c r="V325" s="62"/>
      <c r="W325" s="62"/>
      <c r="X325" s="62"/>
      <c r="Y325" s="62"/>
      <c r="Z325" s="62"/>
      <c r="AA325" s="63"/>
      <c r="AB325" s="49"/>
    </row>
    <row r="326" spans="1:28" ht="39.950000000000003" customHeight="1" x14ac:dyDescent="0.25">
      <c r="A326" s="49"/>
      <c r="B326" s="49"/>
      <c r="C326" s="49"/>
      <c r="D326" s="47"/>
      <c r="E326" s="48"/>
      <c r="F326" s="48"/>
      <c r="G326" s="48"/>
      <c r="H326" s="48"/>
      <c r="I326" s="48"/>
      <c r="J326" s="48"/>
      <c r="K326" s="48"/>
      <c r="L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  <c r="AA326" s="48"/>
      <c r="AB326" s="54"/>
    </row>
    <row r="327" spans="1:28" ht="39.950000000000003" customHeight="1" x14ac:dyDescent="0.25">
      <c r="A327" s="49"/>
      <c r="B327" s="49"/>
      <c r="C327" s="49"/>
      <c r="D327" s="58"/>
      <c r="E327" s="59"/>
      <c r="F327" s="59"/>
      <c r="G327" s="59"/>
      <c r="H327" s="59"/>
      <c r="I327" s="59"/>
      <c r="J327" s="59"/>
      <c r="K327" s="59"/>
      <c r="L327" s="59"/>
      <c r="M327" s="59"/>
      <c r="N327" s="59"/>
      <c r="O327" s="59"/>
      <c r="P327" s="59"/>
      <c r="Q327" s="59"/>
      <c r="R327" s="59"/>
      <c r="S327" s="59"/>
      <c r="T327" s="59"/>
      <c r="U327" s="59"/>
      <c r="V327" s="60"/>
      <c r="W327" s="60"/>
      <c r="X327" s="60"/>
      <c r="Y327" s="60"/>
      <c r="Z327" s="60"/>
      <c r="AA327" s="61"/>
      <c r="AB327" s="54"/>
    </row>
    <row r="328" spans="1:28" ht="39.950000000000003" customHeight="1" x14ac:dyDescent="0.25">
      <c r="A328" s="49"/>
      <c r="B328" s="49"/>
      <c r="C328" s="49"/>
      <c r="D328" s="58"/>
      <c r="E328" s="59"/>
      <c r="F328" s="59"/>
      <c r="G328" s="59"/>
      <c r="H328" s="59"/>
      <c r="I328" s="59"/>
      <c r="J328" s="59"/>
      <c r="K328" s="59"/>
      <c r="L328" s="59"/>
      <c r="M328" s="59"/>
      <c r="N328" s="59"/>
      <c r="O328" s="59"/>
      <c r="P328" s="59"/>
      <c r="Q328" s="59"/>
      <c r="R328" s="59"/>
      <c r="S328" s="59"/>
      <c r="T328" s="59"/>
      <c r="U328" s="59"/>
      <c r="V328" s="60"/>
      <c r="W328" s="60"/>
      <c r="X328" s="60"/>
      <c r="Y328" s="60"/>
      <c r="Z328" s="60"/>
      <c r="AA328" s="61"/>
      <c r="AB328" s="54"/>
    </row>
    <row r="329" spans="1:28" ht="39.950000000000003" customHeight="1" x14ac:dyDescent="0.25">
      <c r="A329" s="49"/>
      <c r="B329" s="49"/>
      <c r="C329" s="49"/>
      <c r="D329" s="58"/>
      <c r="E329" s="59"/>
      <c r="F329" s="59"/>
      <c r="G329" s="59"/>
      <c r="H329" s="59"/>
      <c r="I329" s="59"/>
      <c r="J329" s="59"/>
      <c r="K329" s="59"/>
      <c r="L329" s="59"/>
      <c r="M329" s="59"/>
      <c r="N329" s="59"/>
      <c r="O329" s="59"/>
      <c r="P329" s="59"/>
      <c r="Q329" s="59"/>
      <c r="R329" s="59"/>
      <c r="S329" s="59"/>
      <c r="T329" s="59"/>
      <c r="U329" s="59"/>
      <c r="V329" s="60"/>
      <c r="W329" s="60"/>
      <c r="X329" s="60"/>
      <c r="Y329" s="60"/>
      <c r="Z329" s="60"/>
      <c r="AA329" s="61"/>
      <c r="AB329" s="54"/>
    </row>
    <row r="330" spans="1:28" ht="39.950000000000003" customHeight="1" x14ac:dyDescent="0.25">
      <c r="A330" s="49"/>
      <c r="B330" s="49"/>
      <c r="C330" s="49"/>
      <c r="D330" s="58"/>
      <c r="E330" s="59"/>
      <c r="F330" s="59"/>
      <c r="G330" s="59"/>
      <c r="H330" s="59"/>
      <c r="I330" s="59"/>
      <c r="J330" s="59"/>
      <c r="K330" s="59"/>
      <c r="L330" s="59"/>
      <c r="M330" s="59"/>
      <c r="N330" s="59"/>
      <c r="O330" s="59"/>
      <c r="P330" s="59"/>
      <c r="Q330" s="59"/>
      <c r="R330" s="59"/>
      <c r="S330" s="59"/>
      <c r="T330" s="59"/>
      <c r="U330" s="59"/>
      <c r="V330" s="60"/>
      <c r="W330" s="60"/>
      <c r="X330" s="60"/>
      <c r="Y330" s="60"/>
      <c r="Z330" s="60"/>
      <c r="AA330" s="61"/>
      <c r="AB330" s="54"/>
    </row>
    <row r="331" spans="1:28" ht="39.950000000000003" customHeight="1" x14ac:dyDescent="0.25">
      <c r="A331" s="49"/>
      <c r="B331" s="49"/>
      <c r="C331" s="49"/>
      <c r="D331" s="58"/>
      <c r="E331" s="59"/>
      <c r="F331" s="59"/>
      <c r="G331" s="59"/>
      <c r="H331" s="59"/>
      <c r="I331" s="59"/>
      <c r="J331" s="59"/>
      <c r="K331" s="59"/>
      <c r="L331" s="59"/>
      <c r="M331" s="59"/>
      <c r="N331" s="59"/>
      <c r="O331" s="59"/>
      <c r="P331" s="59"/>
      <c r="Q331" s="59"/>
      <c r="R331" s="59"/>
      <c r="S331" s="59"/>
      <c r="T331" s="59"/>
      <c r="U331" s="59"/>
      <c r="V331" s="60"/>
      <c r="W331" s="60"/>
      <c r="X331" s="60"/>
      <c r="Y331" s="60"/>
      <c r="Z331" s="60"/>
      <c r="AA331" s="61"/>
      <c r="AB331" s="54"/>
    </row>
    <row r="332" spans="1:28" ht="39.950000000000003" customHeight="1" x14ac:dyDescent="0.25">
      <c r="A332" s="49"/>
      <c r="B332" s="49"/>
      <c r="C332" s="49"/>
      <c r="D332" s="58"/>
      <c r="E332" s="59"/>
      <c r="F332" s="59"/>
      <c r="G332" s="59"/>
      <c r="H332" s="59"/>
      <c r="I332" s="59"/>
      <c r="J332" s="59"/>
      <c r="K332" s="59"/>
      <c r="L332" s="59"/>
      <c r="M332" s="59"/>
      <c r="N332" s="59"/>
      <c r="O332" s="59"/>
      <c r="P332" s="59"/>
      <c r="Q332" s="59"/>
      <c r="R332" s="59"/>
      <c r="S332" s="59"/>
      <c r="T332" s="59"/>
      <c r="U332" s="59"/>
      <c r="V332" s="60"/>
      <c r="W332" s="60"/>
      <c r="X332" s="60"/>
      <c r="Y332" s="60"/>
      <c r="Z332" s="60"/>
      <c r="AA332" s="61"/>
      <c r="AB332" s="55"/>
    </row>
    <row r="333" spans="1:28" ht="39.950000000000003" customHeight="1" x14ac:dyDescent="0.25">
      <c r="A333" s="49"/>
      <c r="B333" s="49"/>
      <c r="C333" s="49"/>
      <c r="D333" s="58"/>
      <c r="E333" s="58"/>
      <c r="F333" s="58"/>
      <c r="G333" s="58"/>
      <c r="H333" s="58"/>
      <c r="I333" s="58"/>
      <c r="J333" s="58"/>
      <c r="K333" s="58"/>
      <c r="L333" s="58"/>
      <c r="M333" s="58"/>
      <c r="N333" s="58"/>
      <c r="O333" s="58"/>
      <c r="P333" s="58"/>
      <c r="Q333" s="58"/>
      <c r="R333" s="58"/>
      <c r="S333" s="58"/>
      <c r="T333" s="58"/>
      <c r="U333" s="58"/>
      <c r="V333" s="62"/>
      <c r="W333" s="62"/>
      <c r="X333" s="62"/>
      <c r="Y333" s="62"/>
      <c r="Z333" s="62"/>
      <c r="AA333" s="63"/>
      <c r="AB333" s="49"/>
    </row>
    <row r="334" spans="1:28" ht="39.950000000000003" customHeight="1" x14ac:dyDescent="0.25">
      <c r="A334" s="49"/>
      <c r="B334" s="49"/>
      <c r="C334" s="49"/>
      <c r="D334" s="48"/>
      <c r="E334" s="48"/>
      <c r="F334" s="48"/>
      <c r="G334" s="48"/>
      <c r="H334" s="48"/>
      <c r="I334" s="48"/>
      <c r="J334" s="48"/>
      <c r="K334" s="48"/>
      <c r="L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  <c r="AA334" s="48"/>
      <c r="AB334" s="54"/>
    </row>
    <row r="335" spans="1:28" ht="39.950000000000003" customHeight="1" x14ac:dyDescent="0.25">
      <c r="A335" s="49"/>
      <c r="B335" s="49"/>
      <c r="C335" s="49"/>
      <c r="D335" s="58"/>
      <c r="E335" s="59"/>
      <c r="F335" s="59"/>
      <c r="G335" s="59"/>
      <c r="H335" s="59"/>
      <c r="I335" s="59"/>
      <c r="J335" s="59"/>
      <c r="K335" s="59"/>
      <c r="L335" s="59"/>
      <c r="M335" s="59"/>
      <c r="N335" s="59"/>
      <c r="O335" s="59"/>
      <c r="P335" s="59"/>
      <c r="Q335" s="59"/>
      <c r="R335" s="59"/>
      <c r="S335" s="59"/>
      <c r="T335" s="59"/>
      <c r="U335" s="59"/>
      <c r="V335" s="60"/>
      <c r="W335" s="60"/>
      <c r="X335" s="60"/>
      <c r="Y335" s="60"/>
      <c r="Z335" s="60"/>
      <c r="AA335" s="61"/>
      <c r="AB335" s="54"/>
    </row>
    <row r="336" spans="1:28" ht="39.950000000000003" customHeight="1" x14ac:dyDescent="0.25">
      <c r="A336" s="49"/>
      <c r="B336" s="49"/>
      <c r="C336" s="49"/>
      <c r="D336" s="58"/>
      <c r="E336" s="59"/>
      <c r="F336" s="59"/>
      <c r="G336" s="59"/>
      <c r="H336" s="59"/>
      <c r="I336" s="59"/>
      <c r="J336" s="59"/>
      <c r="K336" s="59"/>
      <c r="L336" s="59"/>
      <c r="M336" s="59"/>
      <c r="N336" s="59"/>
      <c r="O336" s="59"/>
      <c r="P336" s="59"/>
      <c r="Q336" s="59"/>
      <c r="R336" s="59"/>
      <c r="S336" s="59"/>
      <c r="T336" s="59"/>
      <c r="U336" s="59"/>
      <c r="V336" s="60"/>
      <c r="W336" s="60"/>
      <c r="X336" s="60"/>
      <c r="Y336" s="60"/>
      <c r="Z336" s="60"/>
      <c r="AA336" s="61"/>
      <c r="AB336" s="54"/>
    </row>
    <row r="337" spans="1:28" ht="39.950000000000003" customHeight="1" x14ac:dyDescent="0.25">
      <c r="A337" s="49"/>
      <c r="B337" s="49"/>
      <c r="C337" s="49"/>
      <c r="D337" s="58"/>
      <c r="E337" s="59"/>
      <c r="F337" s="59"/>
      <c r="G337" s="59"/>
      <c r="H337" s="59"/>
      <c r="I337" s="59"/>
      <c r="J337" s="59"/>
      <c r="K337" s="59"/>
      <c r="L337" s="59"/>
      <c r="M337" s="59"/>
      <c r="N337" s="59"/>
      <c r="O337" s="59"/>
      <c r="P337" s="59"/>
      <c r="Q337" s="59"/>
      <c r="R337" s="59"/>
      <c r="S337" s="59"/>
      <c r="T337" s="59"/>
      <c r="U337" s="59"/>
      <c r="V337" s="60"/>
      <c r="W337" s="60"/>
      <c r="X337" s="60"/>
      <c r="Y337" s="60"/>
      <c r="Z337" s="60"/>
      <c r="AA337" s="61"/>
      <c r="AB337" s="54"/>
    </row>
    <row r="338" spans="1:28" ht="39.950000000000003" customHeight="1" x14ac:dyDescent="0.25">
      <c r="A338" s="49"/>
      <c r="B338" s="49"/>
      <c r="C338" s="49"/>
      <c r="D338" s="58"/>
      <c r="E338" s="59"/>
      <c r="F338" s="59"/>
      <c r="G338" s="59"/>
      <c r="H338" s="59"/>
      <c r="I338" s="59"/>
      <c r="J338" s="59"/>
      <c r="K338" s="59"/>
      <c r="L338" s="59"/>
      <c r="M338" s="59"/>
      <c r="N338" s="59"/>
      <c r="O338" s="59"/>
      <c r="P338" s="59"/>
      <c r="Q338" s="59"/>
      <c r="R338" s="59"/>
      <c r="S338" s="59"/>
      <c r="T338" s="59"/>
      <c r="U338" s="59"/>
      <c r="V338" s="60"/>
      <c r="W338" s="60"/>
      <c r="X338" s="60"/>
      <c r="Y338" s="60"/>
      <c r="Z338" s="60"/>
      <c r="AA338" s="61"/>
      <c r="AB338" s="54"/>
    </row>
    <row r="339" spans="1:28" ht="39.950000000000003" customHeight="1" x14ac:dyDescent="0.25">
      <c r="A339" s="49"/>
      <c r="B339" s="49"/>
      <c r="C339" s="49"/>
      <c r="D339" s="58"/>
      <c r="E339" s="59"/>
      <c r="F339" s="59"/>
      <c r="G339" s="59"/>
      <c r="H339" s="59"/>
      <c r="I339" s="59"/>
      <c r="J339" s="59"/>
      <c r="K339" s="59"/>
      <c r="L339" s="59"/>
      <c r="M339" s="59"/>
      <c r="N339" s="59"/>
      <c r="O339" s="59"/>
      <c r="P339" s="59"/>
      <c r="Q339" s="59"/>
      <c r="R339" s="59"/>
      <c r="S339" s="59"/>
      <c r="T339" s="59"/>
      <c r="U339" s="59"/>
      <c r="V339" s="60"/>
      <c r="W339" s="60"/>
      <c r="X339" s="60"/>
      <c r="Y339" s="60"/>
      <c r="Z339" s="60"/>
      <c r="AA339" s="61"/>
      <c r="AB339" s="54"/>
    </row>
    <row r="340" spans="1:28" ht="39.950000000000003" customHeight="1" x14ac:dyDescent="0.25">
      <c r="A340" s="49"/>
      <c r="B340" s="49"/>
      <c r="C340" s="49"/>
      <c r="D340" s="58"/>
      <c r="E340" s="59"/>
      <c r="F340" s="59"/>
      <c r="G340" s="59"/>
      <c r="H340" s="59"/>
      <c r="I340" s="59"/>
      <c r="J340" s="59"/>
      <c r="K340" s="59"/>
      <c r="L340" s="59"/>
      <c r="M340" s="59"/>
      <c r="N340" s="59"/>
      <c r="O340" s="59"/>
      <c r="P340" s="59"/>
      <c r="Q340" s="59"/>
      <c r="R340" s="59"/>
      <c r="S340" s="59"/>
      <c r="T340" s="59"/>
      <c r="U340" s="59"/>
      <c r="V340" s="60"/>
      <c r="W340" s="60"/>
      <c r="X340" s="60"/>
      <c r="Y340" s="60"/>
      <c r="Z340" s="60"/>
      <c r="AA340" s="61"/>
      <c r="AB340" s="55"/>
    </row>
    <row r="341" spans="1:28" ht="39.950000000000003" customHeight="1" x14ac:dyDescent="0.25">
      <c r="A341" s="49"/>
      <c r="B341" s="49"/>
      <c r="C341" s="49"/>
      <c r="D341" s="58"/>
      <c r="E341" s="58"/>
      <c r="F341" s="58"/>
      <c r="G341" s="58"/>
      <c r="H341" s="58"/>
      <c r="I341" s="58"/>
      <c r="J341" s="58"/>
      <c r="K341" s="58"/>
      <c r="L341" s="58"/>
      <c r="M341" s="58"/>
      <c r="N341" s="58"/>
      <c r="O341" s="58"/>
      <c r="P341" s="58"/>
      <c r="Q341" s="58"/>
      <c r="R341" s="58"/>
      <c r="S341" s="58"/>
      <c r="T341" s="58"/>
      <c r="U341" s="58"/>
      <c r="V341" s="62"/>
      <c r="W341" s="62"/>
      <c r="X341" s="62"/>
      <c r="Y341" s="62"/>
      <c r="Z341" s="62"/>
      <c r="AA341" s="63"/>
      <c r="AB341" s="49"/>
    </row>
    <row r="342" spans="1:28" ht="39.950000000000003" customHeight="1" x14ac:dyDescent="0.25">
      <c r="A342" s="49"/>
      <c r="B342" s="49"/>
      <c r="C342" s="49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  <c r="AA342" s="48"/>
      <c r="AB342" s="54"/>
    </row>
    <row r="343" spans="1:28" ht="39.950000000000003" customHeight="1" x14ac:dyDescent="0.25">
      <c r="A343" s="49"/>
      <c r="B343" s="49"/>
      <c r="C343" s="49"/>
      <c r="D343" s="58"/>
      <c r="E343" s="59"/>
      <c r="F343" s="59"/>
      <c r="G343" s="59"/>
      <c r="H343" s="59"/>
      <c r="I343" s="59"/>
      <c r="J343" s="59"/>
      <c r="K343" s="59"/>
      <c r="L343" s="59"/>
      <c r="M343" s="59"/>
      <c r="N343" s="59"/>
      <c r="O343" s="59"/>
      <c r="P343" s="59"/>
      <c r="Q343" s="59"/>
      <c r="R343" s="59"/>
      <c r="S343" s="59"/>
      <c r="T343" s="59"/>
      <c r="U343" s="59"/>
      <c r="V343" s="60"/>
      <c r="W343" s="60"/>
      <c r="X343" s="60"/>
      <c r="Y343" s="60"/>
      <c r="Z343" s="60"/>
      <c r="AA343" s="61"/>
      <c r="AB343" s="54"/>
    </row>
    <row r="344" spans="1:28" ht="39.950000000000003" customHeight="1" x14ac:dyDescent="0.25">
      <c r="A344" s="49"/>
      <c r="B344" s="49"/>
      <c r="C344" s="49"/>
      <c r="D344" s="58"/>
      <c r="E344" s="59"/>
      <c r="F344" s="59"/>
      <c r="G344" s="59"/>
      <c r="H344" s="59"/>
      <c r="I344" s="59"/>
      <c r="J344" s="59"/>
      <c r="K344" s="59"/>
      <c r="L344" s="59"/>
      <c r="M344" s="59"/>
      <c r="N344" s="59"/>
      <c r="O344" s="59"/>
      <c r="P344" s="59"/>
      <c r="Q344" s="59"/>
      <c r="R344" s="59"/>
      <c r="S344" s="59"/>
      <c r="T344" s="59"/>
      <c r="U344" s="59"/>
      <c r="V344" s="60"/>
      <c r="W344" s="60"/>
      <c r="X344" s="60"/>
      <c r="Y344" s="60"/>
      <c r="Z344" s="60"/>
      <c r="AA344" s="61"/>
      <c r="AB344" s="54"/>
    </row>
    <row r="345" spans="1:28" ht="39.950000000000003" customHeight="1" x14ac:dyDescent="0.25">
      <c r="A345" s="49"/>
      <c r="B345" s="49"/>
      <c r="C345" s="49"/>
      <c r="D345" s="58"/>
      <c r="E345" s="59"/>
      <c r="F345" s="59"/>
      <c r="G345" s="59"/>
      <c r="H345" s="59"/>
      <c r="I345" s="59"/>
      <c r="J345" s="59"/>
      <c r="K345" s="59"/>
      <c r="L345" s="59"/>
      <c r="M345" s="59"/>
      <c r="N345" s="59"/>
      <c r="O345" s="59"/>
      <c r="P345" s="59"/>
      <c r="Q345" s="59"/>
      <c r="R345" s="59"/>
      <c r="S345" s="59"/>
      <c r="T345" s="59"/>
      <c r="U345" s="59"/>
      <c r="V345" s="60"/>
      <c r="W345" s="60"/>
      <c r="X345" s="60"/>
      <c r="Y345" s="60"/>
      <c r="Z345" s="60"/>
      <c r="AA345" s="61"/>
      <c r="AB345" s="54"/>
    </row>
    <row r="346" spans="1:28" ht="39.950000000000003" customHeight="1" x14ac:dyDescent="0.25">
      <c r="A346" s="49"/>
      <c r="B346" s="49"/>
      <c r="C346" s="49"/>
      <c r="D346" s="58"/>
      <c r="E346" s="59"/>
      <c r="F346" s="59"/>
      <c r="G346" s="59"/>
      <c r="H346" s="59"/>
      <c r="I346" s="59"/>
      <c r="J346" s="59"/>
      <c r="K346" s="59"/>
      <c r="L346" s="59"/>
      <c r="M346" s="59"/>
      <c r="N346" s="59"/>
      <c r="O346" s="59"/>
      <c r="P346" s="59"/>
      <c r="Q346" s="59"/>
      <c r="R346" s="59"/>
      <c r="S346" s="59"/>
      <c r="T346" s="59"/>
      <c r="U346" s="59"/>
      <c r="V346" s="60"/>
      <c r="W346" s="60"/>
      <c r="X346" s="60"/>
      <c r="Y346" s="60"/>
      <c r="Z346" s="60"/>
      <c r="AA346" s="61"/>
      <c r="AB346" s="54"/>
    </row>
    <row r="347" spans="1:28" ht="39.950000000000003" customHeight="1" x14ac:dyDescent="0.25">
      <c r="A347" s="49"/>
      <c r="B347" s="49"/>
      <c r="C347" s="49"/>
      <c r="D347" s="58"/>
      <c r="E347" s="59"/>
      <c r="F347" s="59"/>
      <c r="G347" s="59"/>
      <c r="H347" s="59"/>
      <c r="I347" s="59"/>
      <c r="J347" s="59"/>
      <c r="K347" s="59"/>
      <c r="L347" s="59"/>
      <c r="M347" s="59"/>
      <c r="N347" s="59"/>
      <c r="O347" s="59"/>
      <c r="P347" s="59"/>
      <c r="Q347" s="59"/>
      <c r="R347" s="59"/>
      <c r="S347" s="59"/>
      <c r="T347" s="59"/>
      <c r="U347" s="59"/>
      <c r="V347" s="60"/>
      <c r="W347" s="60"/>
      <c r="X347" s="60"/>
      <c r="Y347" s="60"/>
      <c r="Z347" s="60"/>
      <c r="AA347" s="61"/>
      <c r="AB347" s="55"/>
    </row>
    <row r="348" spans="1:28" ht="39.950000000000003" customHeight="1" x14ac:dyDescent="0.25">
      <c r="A348" s="49"/>
      <c r="B348" s="49"/>
      <c r="C348" s="49"/>
      <c r="D348" s="58"/>
      <c r="E348" s="58"/>
      <c r="F348" s="58"/>
      <c r="G348" s="58"/>
      <c r="H348" s="58"/>
      <c r="I348" s="58"/>
      <c r="J348" s="58"/>
      <c r="K348" s="58"/>
      <c r="L348" s="58"/>
      <c r="M348" s="58"/>
      <c r="N348" s="58"/>
      <c r="O348" s="58"/>
      <c r="P348" s="58"/>
      <c r="Q348" s="58"/>
      <c r="R348" s="58"/>
      <c r="S348" s="58"/>
      <c r="T348" s="58"/>
      <c r="U348" s="58"/>
      <c r="V348" s="62"/>
      <c r="W348" s="62"/>
      <c r="X348" s="62"/>
      <c r="Y348" s="62"/>
      <c r="Z348" s="62"/>
      <c r="AA348" s="63"/>
      <c r="AB348" s="49"/>
    </row>
    <row r="349" spans="1:28" ht="39.950000000000003" customHeight="1" x14ac:dyDescent="0.25">
      <c r="A349" s="49"/>
      <c r="B349" s="49"/>
      <c r="C349" s="49"/>
      <c r="D349" s="48"/>
      <c r="E349" s="48"/>
      <c r="F349" s="48"/>
      <c r="G349" s="48"/>
      <c r="H349" s="48"/>
      <c r="I349" s="48"/>
      <c r="J349" s="48"/>
      <c r="K349" s="48"/>
      <c r="L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  <c r="AA349" s="48"/>
      <c r="AB349" s="54"/>
    </row>
    <row r="350" spans="1:28" ht="39.950000000000003" customHeight="1" x14ac:dyDescent="0.25">
      <c r="A350" s="49"/>
      <c r="B350" s="49"/>
      <c r="C350" s="49"/>
      <c r="D350" s="58"/>
      <c r="E350" s="59"/>
      <c r="F350" s="59"/>
      <c r="G350" s="59"/>
      <c r="H350" s="59"/>
      <c r="I350" s="59"/>
      <c r="J350" s="59"/>
      <c r="K350" s="59"/>
      <c r="L350" s="59"/>
      <c r="M350" s="59"/>
      <c r="N350" s="59"/>
      <c r="O350" s="59"/>
      <c r="P350" s="59"/>
      <c r="Q350" s="59"/>
      <c r="R350" s="59"/>
      <c r="S350" s="59"/>
      <c r="T350" s="59"/>
      <c r="U350" s="59"/>
      <c r="V350" s="60"/>
      <c r="W350" s="60"/>
      <c r="X350" s="60"/>
      <c r="Y350" s="60"/>
      <c r="Z350" s="60"/>
      <c r="AA350" s="61"/>
      <c r="AB350" s="54"/>
    </row>
    <row r="351" spans="1:28" ht="39.950000000000003" customHeight="1" x14ac:dyDescent="0.25">
      <c r="A351" s="49"/>
      <c r="B351" s="49"/>
      <c r="C351" s="49"/>
      <c r="D351" s="58"/>
      <c r="E351" s="59"/>
      <c r="F351" s="59"/>
      <c r="G351" s="59"/>
      <c r="H351" s="59"/>
      <c r="I351" s="59"/>
      <c r="J351" s="59"/>
      <c r="K351" s="59"/>
      <c r="L351" s="59"/>
      <c r="M351" s="59"/>
      <c r="N351" s="59"/>
      <c r="O351" s="59"/>
      <c r="P351" s="59"/>
      <c r="Q351" s="59"/>
      <c r="R351" s="59"/>
      <c r="S351" s="59"/>
      <c r="T351" s="59"/>
      <c r="U351" s="59"/>
      <c r="V351" s="60"/>
      <c r="W351" s="60"/>
      <c r="X351" s="60"/>
      <c r="Y351" s="60"/>
      <c r="Z351" s="60"/>
      <c r="AA351" s="61"/>
      <c r="AB351" s="54"/>
    </row>
    <row r="352" spans="1:28" ht="39.950000000000003" customHeight="1" x14ac:dyDescent="0.25">
      <c r="A352" s="49"/>
      <c r="B352" s="49"/>
      <c r="C352" s="49"/>
      <c r="D352" s="58"/>
      <c r="E352" s="59"/>
      <c r="F352" s="59"/>
      <c r="G352" s="59"/>
      <c r="H352" s="59"/>
      <c r="I352" s="59"/>
      <c r="J352" s="59"/>
      <c r="K352" s="59"/>
      <c r="L352" s="59"/>
      <c r="M352" s="59"/>
      <c r="N352" s="59"/>
      <c r="O352" s="59"/>
      <c r="P352" s="59"/>
      <c r="Q352" s="59"/>
      <c r="R352" s="59"/>
      <c r="S352" s="59"/>
      <c r="T352" s="59"/>
      <c r="U352" s="59"/>
      <c r="V352" s="60"/>
      <c r="W352" s="60"/>
      <c r="X352" s="60"/>
      <c r="Y352" s="60"/>
      <c r="Z352" s="60"/>
      <c r="AA352" s="61"/>
      <c r="AB352" s="54"/>
    </row>
    <row r="353" spans="1:28" ht="39.950000000000003" customHeight="1" x14ac:dyDescent="0.25">
      <c r="A353" s="49"/>
      <c r="B353" s="49"/>
      <c r="C353" s="49"/>
      <c r="D353" s="58"/>
      <c r="E353" s="59"/>
      <c r="F353" s="59"/>
      <c r="G353" s="59"/>
      <c r="H353" s="59"/>
      <c r="I353" s="59"/>
      <c r="J353" s="59"/>
      <c r="K353" s="59"/>
      <c r="L353" s="59"/>
      <c r="M353" s="59"/>
      <c r="N353" s="59"/>
      <c r="O353" s="59"/>
      <c r="P353" s="59"/>
      <c r="Q353" s="59"/>
      <c r="R353" s="59"/>
      <c r="S353" s="59"/>
      <c r="T353" s="59"/>
      <c r="U353" s="59"/>
      <c r="V353" s="60"/>
      <c r="W353" s="60"/>
      <c r="X353" s="60"/>
      <c r="Y353" s="60"/>
      <c r="Z353" s="60"/>
      <c r="AA353" s="61"/>
      <c r="AB353" s="54"/>
    </row>
    <row r="354" spans="1:28" ht="39.950000000000003" customHeight="1" x14ac:dyDescent="0.25">
      <c r="A354" s="49"/>
      <c r="B354" s="49"/>
      <c r="C354" s="49"/>
      <c r="D354" s="58"/>
      <c r="E354" s="59"/>
      <c r="F354" s="59"/>
      <c r="G354" s="59"/>
      <c r="H354" s="59"/>
      <c r="I354" s="59"/>
      <c r="J354" s="59"/>
      <c r="K354" s="59"/>
      <c r="L354" s="59"/>
      <c r="M354" s="59"/>
      <c r="N354" s="59"/>
      <c r="O354" s="59"/>
      <c r="P354" s="59"/>
      <c r="Q354" s="59"/>
      <c r="R354" s="59"/>
      <c r="S354" s="59"/>
      <c r="T354" s="59"/>
      <c r="U354" s="59"/>
      <c r="V354" s="60"/>
      <c r="W354" s="60"/>
      <c r="X354" s="60"/>
      <c r="Y354" s="60"/>
      <c r="Z354" s="60"/>
      <c r="AA354" s="61"/>
      <c r="AB354" s="54"/>
    </row>
    <row r="355" spans="1:28" ht="39.950000000000003" customHeight="1" x14ac:dyDescent="0.25">
      <c r="A355" s="49"/>
      <c r="B355" s="49"/>
      <c r="C355" s="49"/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  <c r="S355" s="58"/>
      <c r="T355" s="58"/>
      <c r="U355" s="58"/>
      <c r="V355" s="62"/>
      <c r="W355" s="62"/>
      <c r="X355" s="62"/>
      <c r="Y355" s="62"/>
      <c r="Z355" s="62"/>
      <c r="AA355" s="63"/>
      <c r="AB355" s="49"/>
    </row>
    <row r="356" spans="1:28" ht="39.950000000000003" customHeight="1" x14ac:dyDescent="0.25">
      <c r="A356" s="49"/>
      <c r="B356" s="49"/>
      <c r="C356" s="49"/>
      <c r="D356" s="48"/>
      <c r="E356" s="48"/>
      <c r="F356" s="48"/>
      <c r="G356" s="48"/>
      <c r="H356" s="48"/>
      <c r="I356" s="48"/>
      <c r="J356" s="48"/>
      <c r="K356" s="48"/>
      <c r="L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  <c r="AA356" s="48"/>
      <c r="AB356" s="54"/>
    </row>
    <row r="357" spans="1:28" ht="39.950000000000003" customHeight="1" x14ac:dyDescent="0.25">
      <c r="A357" s="49"/>
      <c r="B357" s="49"/>
      <c r="C357" s="49"/>
      <c r="D357" s="58"/>
      <c r="E357" s="59"/>
      <c r="F357" s="59"/>
      <c r="G357" s="59"/>
      <c r="H357" s="59"/>
      <c r="I357" s="59"/>
      <c r="J357" s="59"/>
      <c r="K357" s="59"/>
      <c r="L357" s="59"/>
      <c r="M357" s="59"/>
      <c r="N357" s="59"/>
      <c r="O357" s="59"/>
      <c r="P357" s="59"/>
      <c r="Q357" s="59"/>
      <c r="R357" s="59"/>
      <c r="S357" s="59"/>
      <c r="T357" s="59"/>
      <c r="U357" s="59"/>
      <c r="V357" s="60"/>
      <c r="W357" s="60"/>
      <c r="X357" s="60"/>
      <c r="Y357" s="60"/>
      <c r="Z357" s="60"/>
      <c r="AA357" s="61"/>
      <c r="AB357" s="54"/>
    </row>
    <row r="358" spans="1:28" ht="39.950000000000003" customHeight="1" x14ac:dyDescent="0.25">
      <c r="A358" s="49"/>
      <c r="B358" s="49"/>
      <c r="C358" s="49"/>
      <c r="D358" s="58"/>
      <c r="E358" s="59"/>
      <c r="F358" s="59"/>
      <c r="G358" s="59"/>
      <c r="H358" s="59"/>
      <c r="I358" s="59"/>
      <c r="J358" s="59"/>
      <c r="K358" s="59"/>
      <c r="L358" s="59"/>
      <c r="M358" s="59"/>
      <c r="N358" s="59"/>
      <c r="O358" s="59"/>
      <c r="P358" s="59"/>
      <c r="Q358" s="59"/>
      <c r="R358" s="59"/>
      <c r="S358" s="59"/>
      <c r="T358" s="59"/>
      <c r="U358" s="59"/>
      <c r="V358" s="60"/>
      <c r="W358" s="60"/>
      <c r="X358" s="60"/>
      <c r="Y358" s="60"/>
      <c r="Z358" s="60"/>
      <c r="AA358" s="61"/>
      <c r="AB358" s="54"/>
    </row>
    <row r="359" spans="1:28" ht="39.950000000000003" customHeight="1" x14ac:dyDescent="0.25">
      <c r="A359" s="49"/>
      <c r="B359" s="49"/>
      <c r="C359" s="49"/>
      <c r="D359" s="58"/>
      <c r="E359" s="59"/>
      <c r="F359" s="59"/>
      <c r="G359" s="59"/>
      <c r="H359" s="59"/>
      <c r="I359" s="59"/>
      <c r="J359" s="59"/>
      <c r="K359" s="59"/>
      <c r="L359" s="59"/>
      <c r="M359" s="59"/>
      <c r="N359" s="59"/>
      <c r="O359" s="59"/>
      <c r="P359" s="59"/>
      <c r="Q359" s="59"/>
      <c r="R359" s="59"/>
      <c r="S359" s="59"/>
      <c r="T359" s="59"/>
      <c r="U359" s="59"/>
      <c r="V359" s="60"/>
      <c r="W359" s="60"/>
      <c r="X359" s="60"/>
      <c r="Y359" s="60"/>
      <c r="Z359" s="60"/>
      <c r="AA359" s="61"/>
      <c r="AB359" s="54"/>
    </row>
    <row r="360" spans="1:28" ht="39.950000000000003" customHeight="1" x14ac:dyDescent="0.25">
      <c r="A360" s="49"/>
      <c r="B360" s="49"/>
      <c r="C360" s="49"/>
      <c r="D360" s="58"/>
      <c r="E360" s="59"/>
      <c r="F360" s="59"/>
      <c r="G360" s="59"/>
      <c r="H360" s="59"/>
      <c r="I360" s="59"/>
      <c r="J360" s="59"/>
      <c r="K360" s="59"/>
      <c r="L360" s="59"/>
      <c r="M360" s="59"/>
      <c r="N360" s="59"/>
      <c r="O360" s="59"/>
      <c r="P360" s="59"/>
      <c r="Q360" s="59"/>
      <c r="R360" s="59"/>
      <c r="S360" s="59"/>
      <c r="T360" s="59"/>
      <c r="U360" s="59"/>
      <c r="V360" s="60"/>
      <c r="W360" s="60"/>
      <c r="X360" s="60"/>
      <c r="Y360" s="60"/>
      <c r="Z360" s="60"/>
      <c r="AA360" s="61"/>
      <c r="AB360" s="54"/>
    </row>
    <row r="361" spans="1:28" ht="39.950000000000003" customHeight="1" x14ac:dyDescent="0.25">
      <c r="A361" s="49"/>
      <c r="B361" s="49"/>
      <c r="C361" s="49"/>
      <c r="D361" s="58"/>
      <c r="E361" s="59"/>
      <c r="F361" s="59"/>
      <c r="G361" s="59"/>
      <c r="H361" s="59"/>
      <c r="I361" s="59"/>
      <c r="J361" s="59"/>
      <c r="K361" s="59"/>
      <c r="L361" s="59"/>
      <c r="M361" s="59"/>
      <c r="N361" s="59"/>
      <c r="O361" s="59"/>
      <c r="P361" s="59"/>
      <c r="Q361" s="59"/>
      <c r="R361" s="59"/>
      <c r="S361" s="59"/>
      <c r="T361" s="59"/>
      <c r="U361" s="59"/>
      <c r="V361" s="60"/>
      <c r="W361" s="60"/>
      <c r="X361" s="60"/>
      <c r="Y361" s="60"/>
      <c r="Z361" s="60"/>
      <c r="AA361" s="61"/>
      <c r="AB361" s="54"/>
    </row>
    <row r="362" spans="1:28" ht="39.950000000000003" customHeight="1" x14ac:dyDescent="0.25">
      <c r="A362" s="49"/>
      <c r="B362" s="49"/>
      <c r="C362" s="49"/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62"/>
      <c r="W362" s="62"/>
      <c r="X362" s="62"/>
      <c r="Y362" s="62"/>
      <c r="Z362" s="62"/>
      <c r="AA362" s="63"/>
      <c r="AB362" s="49"/>
    </row>
    <row r="363" spans="1:28" ht="39.950000000000003" customHeight="1" x14ac:dyDescent="0.25">
      <c r="A363" s="49"/>
      <c r="B363" s="49"/>
      <c r="C363" s="49"/>
      <c r="D363" s="48"/>
      <c r="E363" s="48"/>
      <c r="F363" s="48"/>
      <c r="G363" s="48"/>
      <c r="H363" s="48"/>
      <c r="I363" s="48"/>
      <c r="J363" s="48"/>
      <c r="K363" s="48"/>
      <c r="L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  <c r="AA363" s="48"/>
      <c r="AB363" s="54"/>
    </row>
    <row r="364" spans="1:28" ht="39.950000000000003" customHeight="1" x14ac:dyDescent="0.25">
      <c r="A364" s="49"/>
      <c r="B364" s="49"/>
      <c r="C364" s="49"/>
      <c r="D364" s="58"/>
      <c r="E364" s="59"/>
      <c r="F364" s="59"/>
      <c r="G364" s="59"/>
      <c r="H364" s="59"/>
      <c r="I364" s="59"/>
      <c r="J364" s="59"/>
      <c r="K364" s="59"/>
      <c r="L364" s="59"/>
      <c r="M364" s="59"/>
      <c r="N364" s="59"/>
      <c r="O364" s="59"/>
      <c r="P364" s="59"/>
      <c r="Q364" s="59"/>
      <c r="R364" s="59"/>
      <c r="S364" s="59"/>
      <c r="T364" s="59"/>
      <c r="U364" s="59"/>
      <c r="V364" s="60"/>
      <c r="W364" s="60"/>
      <c r="X364" s="60"/>
      <c r="Y364" s="60"/>
      <c r="Z364" s="60"/>
      <c r="AA364" s="61"/>
      <c r="AB364" s="54"/>
    </row>
    <row r="365" spans="1:28" ht="39.950000000000003" customHeight="1" x14ac:dyDescent="0.25">
      <c r="A365" s="49"/>
      <c r="B365" s="49"/>
      <c r="C365" s="49"/>
      <c r="D365" s="58"/>
      <c r="E365" s="59"/>
      <c r="F365" s="59"/>
      <c r="G365" s="59"/>
      <c r="H365" s="59"/>
      <c r="I365" s="59"/>
      <c r="J365" s="59"/>
      <c r="K365" s="59"/>
      <c r="L365" s="59"/>
      <c r="M365" s="59"/>
      <c r="N365" s="59"/>
      <c r="O365" s="59"/>
      <c r="P365" s="59"/>
      <c r="Q365" s="59"/>
      <c r="R365" s="59"/>
      <c r="S365" s="59"/>
      <c r="T365" s="59"/>
      <c r="U365" s="59"/>
      <c r="V365" s="60"/>
      <c r="W365" s="60"/>
      <c r="X365" s="60"/>
      <c r="Y365" s="60"/>
      <c r="Z365" s="60"/>
      <c r="AA365" s="61"/>
      <c r="AB365" s="54"/>
    </row>
    <row r="366" spans="1:28" ht="39.950000000000003" customHeight="1" x14ac:dyDescent="0.25">
      <c r="A366" s="49"/>
      <c r="B366" s="49"/>
      <c r="C366" s="49"/>
      <c r="D366" s="58"/>
      <c r="E366" s="59"/>
      <c r="F366" s="59"/>
      <c r="G366" s="59"/>
      <c r="H366" s="59"/>
      <c r="I366" s="59"/>
      <c r="J366" s="59"/>
      <c r="K366" s="59"/>
      <c r="L366" s="59"/>
      <c r="M366" s="59"/>
      <c r="N366" s="59"/>
      <c r="O366" s="59"/>
      <c r="P366" s="59"/>
      <c r="Q366" s="59"/>
      <c r="R366" s="59"/>
      <c r="S366" s="59"/>
      <c r="T366" s="59"/>
      <c r="U366" s="59"/>
      <c r="V366" s="60"/>
      <c r="W366" s="60"/>
      <c r="X366" s="60"/>
      <c r="Y366" s="60"/>
      <c r="Z366" s="60"/>
      <c r="AA366" s="61"/>
      <c r="AB366" s="54"/>
    </row>
    <row r="367" spans="1:28" ht="39.950000000000003" customHeight="1" x14ac:dyDescent="0.25">
      <c r="A367" s="49"/>
      <c r="B367" s="49"/>
      <c r="C367" s="49"/>
      <c r="D367" s="58"/>
      <c r="E367" s="59"/>
      <c r="F367" s="59"/>
      <c r="G367" s="59"/>
      <c r="H367" s="59"/>
      <c r="I367" s="59"/>
      <c r="J367" s="59"/>
      <c r="K367" s="59"/>
      <c r="L367" s="59"/>
      <c r="M367" s="59"/>
      <c r="N367" s="59"/>
      <c r="O367" s="59"/>
      <c r="P367" s="59"/>
      <c r="Q367" s="59"/>
      <c r="R367" s="59"/>
      <c r="S367" s="59"/>
      <c r="T367" s="59"/>
      <c r="U367" s="59"/>
      <c r="V367" s="60"/>
      <c r="W367" s="60"/>
      <c r="X367" s="60"/>
      <c r="Y367" s="60"/>
      <c r="Z367" s="60"/>
      <c r="AA367" s="61"/>
      <c r="AB367" s="54"/>
    </row>
    <row r="368" spans="1:28" ht="39.950000000000003" customHeight="1" x14ac:dyDescent="0.25">
      <c r="A368" s="49"/>
      <c r="B368" s="49"/>
      <c r="C368" s="49"/>
      <c r="D368" s="58"/>
      <c r="E368" s="59"/>
      <c r="F368" s="59"/>
      <c r="G368" s="59"/>
      <c r="H368" s="59"/>
      <c r="I368" s="59"/>
      <c r="J368" s="59"/>
      <c r="K368" s="59"/>
      <c r="L368" s="59"/>
      <c r="M368" s="59"/>
      <c r="N368" s="59"/>
      <c r="O368" s="59"/>
      <c r="P368" s="59"/>
      <c r="Q368" s="59"/>
      <c r="R368" s="59"/>
      <c r="S368" s="59"/>
      <c r="T368" s="59"/>
      <c r="U368" s="59"/>
      <c r="V368" s="60"/>
      <c r="W368" s="60"/>
      <c r="X368" s="60"/>
      <c r="Y368" s="60"/>
      <c r="Z368" s="60"/>
      <c r="AA368" s="61"/>
      <c r="AB368" s="54"/>
    </row>
    <row r="369" spans="1:28" ht="39.950000000000003" customHeight="1" x14ac:dyDescent="0.25">
      <c r="A369" s="49"/>
      <c r="B369" s="49"/>
      <c r="C369" s="49"/>
      <c r="D369" s="58"/>
      <c r="E369" s="58"/>
      <c r="F369" s="58"/>
      <c r="G369" s="58"/>
      <c r="H369" s="58"/>
      <c r="I369" s="58"/>
      <c r="J369" s="58"/>
      <c r="K369" s="58"/>
      <c r="L369" s="58"/>
      <c r="M369" s="58"/>
      <c r="N369" s="58"/>
      <c r="O369" s="58"/>
      <c r="P369" s="58"/>
      <c r="Q369" s="58"/>
      <c r="R369" s="58"/>
      <c r="S369" s="58"/>
      <c r="T369" s="58"/>
      <c r="U369" s="58"/>
      <c r="V369" s="62"/>
      <c r="W369" s="62"/>
      <c r="X369" s="62"/>
      <c r="Y369" s="62"/>
      <c r="Z369" s="62"/>
      <c r="AA369" s="63"/>
      <c r="AB369" s="55"/>
    </row>
    <row r="370" spans="1:28" ht="39.950000000000003" customHeight="1" x14ac:dyDescent="0.25">
      <c r="A370" s="49"/>
      <c r="B370" s="49"/>
      <c r="C370" s="49"/>
      <c r="D370" s="48"/>
      <c r="E370" s="48"/>
      <c r="F370" s="48"/>
      <c r="G370" s="48"/>
      <c r="H370" s="48"/>
      <c r="I370" s="48"/>
      <c r="J370" s="48"/>
      <c r="K370" s="48"/>
      <c r="L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  <c r="AA370" s="48"/>
      <c r="AB370" s="54"/>
    </row>
    <row r="371" spans="1:28" ht="39.950000000000003" customHeight="1" x14ac:dyDescent="0.25">
      <c r="A371" s="49"/>
      <c r="B371" s="49"/>
      <c r="C371" s="49"/>
      <c r="D371" s="58"/>
      <c r="E371" s="59"/>
      <c r="F371" s="59"/>
      <c r="G371" s="59"/>
      <c r="H371" s="59"/>
      <c r="I371" s="59"/>
      <c r="J371" s="59"/>
      <c r="K371" s="59"/>
      <c r="L371" s="59"/>
      <c r="M371" s="59"/>
      <c r="N371" s="59"/>
      <c r="O371" s="67"/>
      <c r="P371" s="68"/>
      <c r="Q371" s="68"/>
      <c r="R371" s="68"/>
      <c r="S371" s="68"/>
      <c r="T371" s="68"/>
      <c r="U371" s="68"/>
      <c r="V371" s="69"/>
      <c r="W371" s="69"/>
      <c r="X371" s="69"/>
      <c r="Y371" s="69"/>
      <c r="Z371" s="69"/>
      <c r="AA371" s="70"/>
      <c r="AB371" s="54"/>
    </row>
    <row r="372" spans="1:28" ht="39.950000000000003" customHeight="1" x14ac:dyDescent="0.25">
      <c r="A372" s="49"/>
      <c r="B372" s="49"/>
      <c r="C372" s="49"/>
      <c r="D372" s="58"/>
      <c r="E372" s="59"/>
      <c r="F372" s="59"/>
      <c r="G372" s="59"/>
      <c r="H372" s="59"/>
      <c r="I372" s="59"/>
      <c r="J372" s="59"/>
      <c r="K372" s="59"/>
      <c r="L372" s="59"/>
      <c r="M372" s="59"/>
      <c r="N372" s="59"/>
      <c r="O372" s="71"/>
      <c r="P372" s="72"/>
      <c r="Q372" s="72"/>
      <c r="R372" s="72"/>
      <c r="S372" s="72"/>
      <c r="T372" s="72"/>
      <c r="U372" s="72"/>
      <c r="V372" s="73"/>
      <c r="W372" s="73"/>
      <c r="X372" s="73"/>
      <c r="Y372" s="73"/>
      <c r="Z372" s="73"/>
      <c r="AA372" s="74"/>
      <c r="AB372" s="54"/>
    </row>
    <row r="373" spans="1:28" ht="39.950000000000003" customHeight="1" x14ac:dyDescent="0.25">
      <c r="A373" s="49"/>
      <c r="B373" s="49"/>
      <c r="C373" s="49"/>
      <c r="D373" s="58"/>
      <c r="E373" s="59"/>
      <c r="F373" s="59"/>
      <c r="G373" s="59"/>
      <c r="H373" s="59"/>
      <c r="I373" s="59"/>
      <c r="J373" s="59"/>
      <c r="K373" s="59"/>
      <c r="L373" s="59"/>
      <c r="M373" s="59"/>
      <c r="N373" s="59"/>
      <c r="O373" s="71"/>
      <c r="P373" s="72"/>
      <c r="Q373" s="72"/>
      <c r="R373" s="72"/>
      <c r="S373" s="72"/>
      <c r="T373" s="72"/>
      <c r="U373" s="72"/>
      <c r="V373" s="73"/>
      <c r="W373" s="73"/>
      <c r="X373" s="73"/>
      <c r="Y373" s="73"/>
      <c r="Z373" s="73"/>
      <c r="AA373" s="74"/>
      <c r="AB373" s="54"/>
    </row>
    <row r="374" spans="1:28" ht="39.950000000000003" customHeight="1" x14ac:dyDescent="0.25">
      <c r="A374" s="49"/>
      <c r="B374" s="49"/>
      <c r="C374" s="49"/>
      <c r="D374" s="58"/>
      <c r="E374" s="59"/>
      <c r="F374" s="59"/>
      <c r="G374" s="59"/>
      <c r="H374" s="59"/>
      <c r="I374" s="59"/>
      <c r="J374" s="59"/>
      <c r="K374" s="59"/>
      <c r="L374" s="59"/>
      <c r="M374" s="59"/>
      <c r="N374" s="59"/>
      <c r="O374" s="71"/>
      <c r="P374" s="72"/>
      <c r="Q374" s="72"/>
      <c r="R374" s="72"/>
      <c r="S374" s="72"/>
      <c r="T374" s="72"/>
      <c r="U374" s="72"/>
      <c r="V374" s="73"/>
      <c r="W374" s="73"/>
      <c r="X374" s="73"/>
      <c r="Y374" s="73"/>
      <c r="Z374" s="73"/>
      <c r="AA374" s="74"/>
      <c r="AB374" s="54"/>
    </row>
    <row r="375" spans="1:28" ht="39.950000000000003" customHeight="1" x14ac:dyDescent="0.25">
      <c r="A375" s="49"/>
      <c r="B375" s="49"/>
      <c r="C375" s="49"/>
      <c r="D375" s="58"/>
      <c r="E375" s="59"/>
      <c r="F375" s="59"/>
      <c r="G375" s="59"/>
      <c r="H375" s="59"/>
      <c r="I375" s="59"/>
      <c r="J375" s="59"/>
      <c r="K375" s="59"/>
      <c r="L375" s="59"/>
      <c r="M375" s="59"/>
      <c r="N375" s="59"/>
      <c r="O375" s="71"/>
      <c r="P375" s="72"/>
      <c r="Q375" s="72"/>
      <c r="R375" s="72"/>
      <c r="S375" s="72"/>
      <c r="T375" s="72"/>
      <c r="U375" s="72"/>
      <c r="V375" s="73"/>
      <c r="W375" s="73"/>
      <c r="X375" s="73"/>
      <c r="Y375" s="73"/>
      <c r="Z375" s="73"/>
      <c r="AA375" s="74"/>
      <c r="AB375" s="54"/>
    </row>
    <row r="376" spans="1:28" ht="39.950000000000003" customHeight="1" x14ac:dyDescent="0.25">
      <c r="A376" s="49"/>
      <c r="B376" s="49"/>
      <c r="C376" s="49"/>
      <c r="D376" s="58"/>
      <c r="E376" s="59"/>
      <c r="F376" s="59"/>
      <c r="G376" s="59"/>
      <c r="H376" s="59"/>
      <c r="I376" s="59"/>
      <c r="J376" s="59"/>
      <c r="K376" s="59"/>
      <c r="L376" s="59"/>
      <c r="M376" s="59"/>
      <c r="N376" s="59"/>
      <c r="O376" s="71"/>
      <c r="P376" s="72"/>
      <c r="Q376" s="72"/>
      <c r="R376" s="72"/>
      <c r="S376" s="72"/>
      <c r="T376" s="72"/>
      <c r="U376" s="72"/>
      <c r="V376" s="73"/>
      <c r="W376" s="73"/>
      <c r="X376" s="73"/>
      <c r="Y376" s="73"/>
      <c r="Z376" s="73"/>
      <c r="AA376" s="74"/>
      <c r="AB376" s="54"/>
    </row>
    <row r="377" spans="1:28" ht="39.950000000000003" customHeight="1" x14ac:dyDescent="0.25">
      <c r="A377" s="49"/>
      <c r="B377" s="49"/>
      <c r="C377" s="49"/>
      <c r="D377" s="58"/>
      <c r="E377" s="58"/>
      <c r="F377" s="58"/>
      <c r="G377" s="58"/>
      <c r="H377" s="58"/>
      <c r="I377" s="58"/>
      <c r="J377" s="58"/>
      <c r="K377" s="58"/>
      <c r="L377" s="58"/>
      <c r="M377" s="58"/>
      <c r="N377" s="58"/>
      <c r="O377" s="75"/>
      <c r="P377" s="76"/>
      <c r="Q377" s="76"/>
      <c r="R377" s="76"/>
      <c r="S377" s="76"/>
      <c r="T377" s="76"/>
      <c r="U377" s="76"/>
      <c r="V377" s="77"/>
      <c r="W377" s="77"/>
      <c r="X377" s="77"/>
      <c r="Y377" s="77"/>
      <c r="Z377" s="77"/>
      <c r="AA377" s="78"/>
      <c r="AB377" s="55"/>
    </row>
    <row r="378" spans="1:28" ht="39.950000000000003" customHeight="1" x14ac:dyDescent="0.25">
      <c r="A378" s="49"/>
      <c r="B378" s="49"/>
      <c r="C378" s="49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79"/>
      <c r="P378" s="79"/>
      <c r="Q378" s="79"/>
      <c r="R378" s="79"/>
      <c r="S378" s="79"/>
      <c r="T378" s="79"/>
      <c r="U378" s="79"/>
      <c r="V378" s="79"/>
      <c r="W378" s="79"/>
      <c r="X378" s="79"/>
      <c r="Y378" s="79"/>
      <c r="Z378" s="79"/>
      <c r="AA378" s="79"/>
      <c r="AB378" s="54"/>
    </row>
    <row r="379" spans="1:28" ht="39.950000000000003" customHeight="1" x14ac:dyDescent="0.25">
      <c r="A379" s="49"/>
      <c r="B379" s="49"/>
      <c r="C379" s="49"/>
      <c r="D379" s="58"/>
      <c r="E379" s="59"/>
      <c r="F379" s="59"/>
      <c r="G379" s="59"/>
      <c r="H379" s="59"/>
      <c r="I379" s="59"/>
      <c r="J379" s="59"/>
      <c r="K379" s="59"/>
      <c r="L379" s="59"/>
      <c r="M379" s="59"/>
      <c r="N379" s="59"/>
      <c r="O379" s="59"/>
      <c r="P379" s="59"/>
      <c r="Q379" s="59"/>
      <c r="R379" s="59"/>
      <c r="S379" s="59"/>
      <c r="T379" s="59"/>
      <c r="U379" s="59"/>
      <c r="V379" s="60"/>
      <c r="W379" s="60"/>
      <c r="X379" s="60"/>
      <c r="Y379" s="60"/>
      <c r="Z379" s="60"/>
      <c r="AA379" s="61"/>
      <c r="AB379" s="54"/>
    </row>
    <row r="380" spans="1:28" ht="39.950000000000003" customHeight="1" x14ac:dyDescent="0.25">
      <c r="A380" s="49"/>
      <c r="B380" s="49"/>
      <c r="C380" s="49"/>
      <c r="D380" s="58"/>
      <c r="E380" s="59"/>
      <c r="F380" s="59"/>
      <c r="G380" s="59"/>
      <c r="H380" s="59"/>
      <c r="I380" s="59"/>
      <c r="J380" s="59"/>
      <c r="K380" s="59"/>
      <c r="L380" s="59"/>
      <c r="M380" s="59"/>
      <c r="N380" s="59"/>
      <c r="O380" s="59"/>
      <c r="P380" s="59"/>
      <c r="Q380" s="59"/>
      <c r="R380" s="59"/>
      <c r="S380" s="59"/>
      <c r="T380" s="59"/>
      <c r="U380" s="59"/>
      <c r="V380" s="60"/>
      <c r="W380" s="60"/>
      <c r="X380" s="60"/>
      <c r="Y380" s="60"/>
      <c r="Z380" s="60"/>
      <c r="AA380" s="61"/>
      <c r="AB380" s="54"/>
    </row>
    <row r="381" spans="1:28" ht="39.950000000000003" customHeight="1" x14ac:dyDescent="0.25">
      <c r="A381" s="49"/>
      <c r="B381" s="49"/>
      <c r="C381" s="49"/>
      <c r="D381" s="58"/>
      <c r="E381" s="59"/>
      <c r="F381" s="59"/>
      <c r="G381" s="59"/>
      <c r="H381" s="59"/>
      <c r="I381" s="59"/>
      <c r="J381" s="59"/>
      <c r="K381" s="59"/>
      <c r="L381" s="59"/>
      <c r="M381" s="59"/>
      <c r="N381" s="59"/>
      <c r="O381" s="59"/>
      <c r="P381" s="59"/>
      <c r="Q381" s="59"/>
      <c r="R381" s="59"/>
      <c r="S381" s="59"/>
      <c r="T381" s="59"/>
      <c r="U381" s="59"/>
      <c r="V381" s="60"/>
      <c r="W381" s="60"/>
      <c r="X381" s="60"/>
      <c r="Y381" s="60"/>
      <c r="Z381" s="60"/>
      <c r="AA381" s="61"/>
      <c r="AB381" s="54"/>
    </row>
    <row r="382" spans="1:28" ht="39.950000000000003" customHeight="1" x14ac:dyDescent="0.25">
      <c r="A382" s="49"/>
      <c r="B382" s="49"/>
      <c r="C382" s="49"/>
      <c r="D382" s="58"/>
      <c r="E382" s="59"/>
      <c r="F382" s="59"/>
      <c r="G382" s="59"/>
      <c r="H382" s="59"/>
      <c r="I382" s="59"/>
      <c r="J382" s="59"/>
      <c r="K382" s="59"/>
      <c r="L382" s="59"/>
      <c r="M382" s="59"/>
      <c r="N382" s="59"/>
      <c r="O382" s="59"/>
      <c r="P382" s="59"/>
      <c r="Q382" s="59"/>
      <c r="R382" s="59"/>
      <c r="S382" s="59"/>
      <c r="T382" s="59"/>
      <c r="U382" s="59"/>
      <c r="V382" s="60"/>
      <c r="W382" s="60"/>
      <c r="X382" s="60"/>
      <c r="Y382" s="60"/>
      <c r="Z382" s="60"/>
      <c r="AA382" s="61"/>
      <c r="AB382" s="54"/>
    </row>
    <row r="383" spans="1:28" ht="39.950000000000003" customHeight="1" x14ac:dyDescent="0.25">
      <c r="A383" s="49"/>
      <c r="B383" s="49"/>
      <c r="C383" s="49"/>
      <c r="D383" s="58"/>
      <c r="E383" s="59"/>
      <c r="F383" s="59"/>
      <c r="G383" s="59"/>
      <c r="H383" s="59"/>
      <c r="I383" s="59"/>
      <c r="J383" s="59"/>
      <c r="K383" s="59"/>
      <c r="L383" s="59"/>
      <c r="M383" s="59"/>
      <c r="N383" s="59"/>
      <c r="O383" s="59"/>
      <c r="P383" s="59"/>
      <c r="Q383" s="59"/>
      <c r="R383" s="59"/>
      <c r="S383" s="59"/>
      <c r="T383" s="59"/>
      <c r="U383" s="59"/>
      <c r="V383" s="60"/>
      <c r="W383" s="60"/>
      <c r="X383" s="60"/>
      <c r="Y383" s="60"/>
      <c r="Z383" s="60"/>
      <c r="AA383" s="61"/>
      <c r="AB383" s="54"/>
    </row>
    <row r="384" spans="1:28" ht="39.950000000000003" customHeight="1" x14ac:dyDescent="0.25">
      <c r="A384" s="49"/>
      <c r="B384" s="49"/>
      <c r="C384" s="49"/>
      <c r="D384" s="58"/>
      <c r="E384" s="58"/>
      <c r="F384" s="58"/>
      <c r="G384" s="58"/>
      <c r="H384" s="58"/>
      <c r="I384" s="58"/>
      <c r="J384" s="58"/>
      <c r="K384" s="58"/>
      <c r="L384" s="58"/>
      <c r="M384" s="58"/>
      <c r="N384" s="58"/>
      <c r="O384" s="58"/>
      <c r="P384" s="58"/>
      <c r="Q384" s="58"/>
      <c r="R384" s="58"/>
      <c r="S384" s="58"/>
      <c r="T384" s="58"/>
      <c r="U384" s="58"/>
      <c r="V384" s="62"/>
      <c r="W384" s="62"/>
      <c r="X384" s="62"/>
      <c r="Y384" s="62"/>
      <c r="Z384" s="62"/>
      <c r="AA384" s="63"/>
      <c r="AB384" s="54"/>
    </row>
    <row r="385" spans="1:28" ht="39.950000000000003" customHeight="1" x14ac:dyDescent="0.25">
      <c r="A385" s="49"/>
      <c r="B385" s="49"/>
      <c r="C385" s="49"/>
      <c r="D385" s="48"/>
      <c r="E385" s="48"/>
      <c r="F385" s="48"/>
      <c r="G385" s="48"/>
      <c r="H385" s="48"/>
      <c r="I385" s="48"/>
      <c r="J385" s="48"/>
      <c r="K385" s="48"/>
      <c r="L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  <c r="AA385" s="48"/>
      <c r="AB385" s="54"/>
    </row>
    <row r="386" spans="1:28" ht="39.950000000000003" customHeight="1" x14ac:dyDescent="0.25">
      <c r="A386" s="49"/>
      <c r="B386" s="49"/>
      <c r="C386" s="49"/>
      <c r="D386" s="58"/>
      <c r="E386" s="59"/>
      <c r="F386" s="59"/>
      <c r="G386" s="59"/>
      <c r="H386" s="59"/>
      <c r="I386" s="59"/>
      <c r="J386" s="59"/>
      <c r="K386" s="59"/>
      <c r="L386" s="59"/>
      <c r="M386" s="59"/>
      <c r="N386" s="59"/>
      <c r="O386" s="59"/>
      <c r="P386" s="59"/>
      <c r="Q386" s="59"/>
      <c r="R386" s="59"/>
      <c r="S386" s="59"/>
      <c r="T386" s="59"/>
      <c r="U386" s="59"/>
      <c r="V386" s="60"/>
      <c r="W386" s="60"/>
      <c r="X386" s="60"/>
      <c r="Y386" s="60"/>
      <c r="Z386" s="60"/>
      <c r="AA386" s="61"/>
      <c r="AB386" s="54"/>
    </row>
    <row r="387" spans="1:28" ht="39.950000000000003" customHeight="1" x14ac:dyDescent="0.25">
      <c r="A387" s="49"/>
      <c r="B387" s="49"/>
      <c r="C387" s="49"/>
      <c r="D387" s="58"/>
      <c r="E387" s="59"/>
      <c r="F387" s="59"/>
      <c r="G387" s="59"/>
      <c r="H387" s="59"/>
      <c r="I387" s="59"/>
      <c r="J387" s="59"/>
      <c r="K387" s="59"/>
      <c r="L387" s="59"/>
      <c r="M387" s="59"/>
      <c r="N387" s="59"/>
      <c r="O387" s="59"/>
      <c r="P387" s="59"/>
      <c r="Q387" s="59"/>
      <c r="R387" s="59"/>
      <c r="S387" s="59"/>
      <c r="T387" s="59"/>
      <c r="U387" s="59"/>
      <c r="V387" s="60"/>
      <c r="W387" s="60"/>
      <c r="X387" s="60"/>
      <c r="Y387" s="60"/>
      <c r="Z387" s="60"/>
      <c r="AA387" s="61"/>
      <c r="AB387" s="54"/>
    </row>
    <row r="388" spans="1:28" ht="39.950000000000003" customHeight="1" x14ac:dyDescent="0.25">
      <c r="A388" s="49"/>
      <c r="B388" s="49"/>
      <c r="C388" s="49"/>
      <c r="D388" s="58"/>
      <c r="E388" s="59"/>
      <c r="F388" s="59"/>
      <c r="G388" s="59"/>
      <c r="H388" s="59"/>
      <c r="I388" s="59"/>
      <c r="J388" s="59"/>
      <c r="K388" s="59"/>
      <c r="L388" s="59"/>
      <c r="M388" s="59"/>
      <c r="N388" s="59"/>
      <c r="O388" s="59"/>
      <c r="P388" s="59"/>
      <c r="Q388" s="59"/>
      <c r="R388" s="59"/>
      <c r="S388" s="59"/>
      <c r="T388" s="59"/>
      <c r="U388" s="59"/>
      <c r="V388" s="60"/>
      <c r="W388" s="60"/>
      <c r="X388" s="60"/>
      <c r="Y388" s="60"/>
      <c r="Z388" s="60"/>
      <c r="AA388" s="61"/>
      <c r="AB388" s="54"/>
    </row>
    <row r="389" spans="1:28" ht="39.950000000000003" customHeight="1" x14ac:dyDescent="0.25">
      <c r="A389" s="49"/>
      <c r="B389" s="49"/>
      <c r="C389" s="49"/>
      <c r="D389" s="58"/>
      <c r="E389" s="59"/>
      <c r="F389" s="59"/>
      <c r="G389" s="59"/>
      <c r="H389" s="59"/>
      <c r="I389" s="59"/>
      <c r="J389" s="59"/>
      <c r="K389" s="59"/>
      <c r="L389" s="59"/>
      <c r="M389" s="59"/>
      <c r="N389" s="59"/>
      <c r="O389" s="59"/>
      <c r="P389" s="59"/>
      <c r="Q389" s="59"/>
      <c r="R389" s="59"/>
      <c r="S389" s="59"/>
      <c r="T389" s="59"/>
      <c r="U389" s="59"/>
      <c r="V389" s="60"/>
      <c r="W389" s="60"/>
      <c r="X389" s="60"/>
      <c r="Y389" s="60"/>
      <c r="Z389" s="60"/>
      <c r="AA389" s="61"/>
      <c r="AB389" s="54"/>
    </row>
    <row r="390" spans="1:28" ht="39.950000000000003" customHeight="1" x14ac:dyDescent="0.25">
      <c r="A390" s="49"/>
      <c r="B390" s="49"/>
      <c r="C390" s="49"/>
      <c r="D390" s="58"/>
      <c r="E390" s="59"/>
      <c r="F390" s="59"/>
      <c r="G390" s="59"/>
      <c r="H390" s="59"/>
      <c r="I390" s="59"/>
      <c r="J390" s="59"/>
      <c r="K390" s="59"/>
      <c r="L390" s="59"/>
      <c r="M390" s="59"/>
      <c r="N390" s="59"/>
      <c r="O390" s="59"/>
      <c r="P390" s="59"/>
      <c r="Q390" s="59"/>
      <c r="R390" s="59"/>
      <c r="S390" s="59"/>
      <c r="T390" s="59"/>
      <c r="U390" s="59"/>
      <c r="V390" s="60"/>
      <c r="W390" s="60"/>
      <c r="X390" s="60"/>
      <c r="Y390" s="60"/>
      <c r="Z390" s="60"/>
      <c r="AA390" s="61"/>
      <c r="AB390" s="54"/>
    </row>
    <row r="391" spans="1:28" ht="39.950000000000003" customHeight="1" x14ac:dyDescent="0.25">
      <c r="A391" s="49"/>
      <c r="B391" s="49"/>
      <c r="C391" s="49"/>
      <c r="D391" s="58"/>
      <c r="E391" s="58"/>
      <c r="F391" s="58"/>
      <c r="G391" s="58"/>
      <c r="H391" s="58"/>
      <c r="I391" s="58"/>
      <c r="J391" s="58"/>
      <c r="K391" s="58"/>
      <c r="L391" s="58"/>
      <c r="M391" s="58"/>
      <c r="N391" s="58"/>
      <c r="O391" s="58"/>
      <c r="P391" s="58"/>
      <c r="Q391" s="58"/>
      <c r="R391" s="58"/>
      <c r="S391" s="58"/>
      <c r="T391" s="58"/>
      <c r="U391" s="58"/>
      <c r="V391" s="62"/>
      <c r="W391" s="62"/>
      <c r="X391" s="62"/>
      <c r="Y391" s="62"/>
      <c r="Z391" s="62"/>
      <c r="AA391" s="63"/>
      <c r="AB391" s="55"/>
    </row>
    <row r="392" spans="1:28" ht="39.950000000000003" customHeight="1" x14ac:dyDescent="0.25">
      <c r="A392" s="49"/>
      <c r="B392" s="49"/>
      <c r="C392" s="49"/>
      <c r="D392" s="48"/>
      <c r="E392" s="48"/>
      <c r="F392" s="48"/>
      <c r="G392" s="48"/>
      <c r="H392" s="48"/>
      <c r="I392" s="48"/>
      <c r="J392" s="48"/>
      <c r="K392" s="48"/>
      <c r="L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  <c r="AA392" s="48"/>
      <c r="AB392" s="54"/>
    </row>
    <row r="393" spans="1:28" ht="39.950000000000003" customHeight="1" x14ac:dyDescent="0.25">
      <c r="A393" s="49"/>
      <c r="B393" s="49"/>
      <c r="C393" s="49"/>
      <c r="D393" s="58"/>
      <c r="E393" s="59"/>
      <c r="F393" s="59"/>
      <c r="G393" s="59"/>
      <c r="H393" s="59"/>
      <c r="I393" s="59"/>
      <c r="J393" s="59"/>
      <c r="K393" s="59"/>
      <c r="L393" s="59"/>
      <c r="M393" s="59"/>
      <c r="N393" s="59"/>
      <c r="O393" s="59"/>
      <c r="P393" s="59"/>
      <c r="Q393" s="59"/>
      <c r="R393" s="59"/>
      <c r="S393" s="59"/>
      <c r="T393" s="59"/>
      <c r="U393" s="59"/>
      <c r="V393" s="60"/>
      <c r="W393" s="60"/>
      <c r="X393" s="60"/>
      <c r="Y393" s="60"/>
      <c r="Z393" s="60"/>
      <c r="AA393" s="61"/>
      <c r="AB393" s="54"/>
    </row>
    <row r="394" spans="1:28" ht="39.950000000000003" customHeight="1" x14ac:dyDescent="0.25">
      <c r="A394" s="49"/>
      <c r="B394" s="49"/>
      <c r="C394" s="49"/>
      <c r="D394" s="58"/>
      <c r="E394" s="59"/>
      <c r="F394" s="59"/>
      <c r="G394" s="59"/>
      <c r="H394" s="59"/>
      <c r="I394" s="59"/>
      <c r="J394" s="59"/>
      <c r="K394" s="59"/>
      <c r="L394" s="59"/>
      <c r="M394" s="59"/>
      <c r="N394" s="59"/>
      <c r="O394" s="59"/>
      <c r="P394" s="59"/>
      <c r="Q394" s="59"/>
      <c r="R394" s="59"/>
      <c r="S394" s="59"/>
      <c r="T394" s="59"/>
      <c r="U394" s="59"/>
      <c r="V394" s="60"/>
      <c r="W394" s="60"/>
      <c r="X394" s="60"/>
      <c r="Y394" s="60"/>
      <c r="Z394" s="60"/>
      <c r="AA394" s="61"/>
      <c r="AB394" s="54"/>
    </row>
    <row r="395" spans="1:28" ht="39.950000000000003" customHeight="1" x14ac:dyDescent="0.25">
      <c r="A395" s="49"/>
      <c r="B395" s="49"/>
      <c r="C395" s="49"/>
      <c r="D395" s="58"/>
      <c r="E395" s="59"/>
      <c r="F395" s="59"/>
      <c r="G395" s="59"/>
      <c r="H395" s="59"/>
      <c r="I395" s="59"/>
      <c r="J395" s="59"/>
      <c r="K395" s="59"/>
      <c r="L395" s="59"/>
      <c r="M395" s="59"/>
      <c r="N395" s="59"/>
      <c r="O395" s="59"/>
      <c r="P395" s="59"/>
      <c r="Q395" s="59"/>
      <c r="R395" s="59"/>
      <c r="S395" s="59"/>
      <c r="T395" s="59"/>
      <c r="U395" s="59"/>
      <c r="V395" s="60"/>
      <c r="W395" s="60"/>
      <c r="X395" s="60"/>
      <c r="Y395" s="60"/>
      <c r="Z395" s="60"/>
      <c r="AA395" s="61"/>
      <c r="AB395" s="54"/>
    </row>
    <row r="396" spans="1:28" ht="39.950000000000003" customHeight="1" x14ac:dyDescent="0.25">
      <c r="A396" s="49"/>
      <c r="B396" s="49"/>
      <c r="C396" s="49"/>
      <c r="D396" s="58"/>
      <c r="E396" s="59"/>
      <c r="F396" s="59"/>
      <c r="G396" s="59"/>
      <c r="H396" s="59"/>
      <c r="I396" s="59"/>
      <c r="J396" s="59"/>
      <c r="K396" s="59"/>
      <c r="L396" s="59"/>
      <c r="M396" s="59"/>
      <c r="N396" s="59"/>
      <c r="O396" s="59"/>
      <c r="P396" s="59"/>
      <c r="Q396" s="59"/>
      <c r="R396" s="59"/>
      <c r="S396" s="59"/>
      <c r="T396" s="59"/>
      <c r="U396" s="59"/>
      <c r="V396" s="60"/>
      <c r="W396" s="60"/>
      <c r="X396" s="60"/>
      <c r="Y396" s="60"/>
      <c r="Z396" s="60"/>
      <c r="AA396" s="61"/>
      <c r="AB396" s="54"/>
    </row>
    <row r="397" spans="1:28" ht="39.950000000000003" customHeight="1" x14ac:dyDescent="0.25">
      <c r="A397" s="49"/>
      <c r="B397" s="49"/>
      <c r="C397" s="49"/>
      <c r="D397" s="58"/>
      <c r="E397" s="59"/>
      <c r="F397" s="59"/>
      <c r="G397" s="59"/>
      <c r="H397" s="59"/>
      <c r="I397" s="59"/>
      <c r="J397" s="59"/>
      <c r="K397" s="59"/>
      <c r="L397" s="59"/>
      <c r="M397" s="59"/>
      <c r="N397" s="59"/>
      <c r="O397" s="59"/>
      <c r="P397" s="59"/>
      <c r="Q397" s="59"/>
      <c r="R397" s="59"/>
      <c r="S397" s="59"/>
      <c r="T397" s="59"/>
      <c r="U397" s="59"/>
      <c r="V397" s="60"/>
      <c r="W397" s="60"/>
      <c r="X397" s="60"/>
      <c r="Y397" s="60"/>
      <c r="Z397" s="60"/>
      <c r="AA397" s="61"/>
      <c r="AB397" s="54"/>
    </row>
    <row r="398" spans="1:28" ht="39.950000000000003" customHeight="1" x14ac:dyDescent="0.25">
      <c r="A398" s="49"/>
      <c r="B398" s="49"/>
      <c r="C398" s="49"/>
      <c r="D398" s="58"/>
      <c r="E398" s="59"/>
      <c r="F398" s="59"/>
      <c r="G398" s="59"/>
      <c r="H398" s="59"/>
      <c r="I398" s="59"/>
      <c r="J398" s="59"/>
      <c r="K398" s="59"/>
      <c r="L398" s="59"/>
      <c r="M398" s="59"/>
      <c r="N398" s="59"/>
      <c r="O398" s="59"/>
      <c r="P398" s="59"/>
      <c r="Q398" s="59"/>
      <c r="R398" s="59"/>
      <c r="S398" s="59"/>
      <c r="T398" s="59"/>
      <c r="U398" s="59"/>
      <c r="V398" s="60"/>
      <c r="W398" s="60"/>
      <c r="X398" s="60"/>
      <c r="Y398" s="60"/>
      <c r="Z398" s="60"/>
      <c r="AA398" s="61"/>
      <c r="AB398" s="55"/>
    </row>
    <row r="399" spans="1:28" ht="39.950000000000003" customHeight="1" x14ac:dyDescent="0.25">
      <c r="A399" s="49"/>
      <c r="B399" s="49"/>
      <c r="C399" s="49"/>
      <c r="D399" s="58"/>
      <c r="E399" s="58"/>
      <c r="F399" s="58"/>
      <c r="G399" s="58"/>
      <c r="H399" s="58"/>
      <c r="I399" s="58"/>
      <c r="J399" s="58"/>
      <c r="K399" s="58"/>
      <c r="L399" s="58"/>
      <c r="M399" s="58"/>
      <c r="N399" s="58"/>
      <c r="O399" s="58"/>
      <c r="P399" s="58"/>
      <c r="Q399" s="58"/>
      <c r="R399" s="58"/>
      <c r="S399" s="58"/>
      <c r="T399" s="58"/>
      <c r="U399" s="58"/>
      <c r="V399" s="62"/>
      <c r="W399" s="62"/>
      <c r="X399" s="62"/>
      <c r="Y399" s="62"/>
      <c r="Z399" s="62"/>
      <c r="AA399" s="63"/>
      <c r="AB399" s="49"/>
    </row>
    <row r="400" spans="1:28" ht="39.950000000000003" customHeight="1" x14ac:dyDescent="0.25">
      <c r="A400" s="49"/>
      <c r="B400" s="49"/>
      <c r="C400" s="49"/>
      <c r="D400" s="48"/>
      <c r="E400" s="48"/>
      <c r="F400" s="48"/>
      <c r="G400" s="48"/>
      <c r="H400" s="48"/>
      <c r="I400" s="48"/>
      <c r="J400" s="48"/>
      <c r="K400" s="48"/>
      <c r="L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  <c r="AA400" s="48"/>
      <c r="AB400" s="54"/>
    </row>
    <row r="401" spans="1:28" ht="39.950000000000003" customHeight="1" x14ac:dyDescent="0.25">
      <c r="A401" s="49"/>
      <c r="B401" s="49"/>
      <c r="C401" s="49"/>
      <c r="D401" s="58"/>
      <c r="E401" s="59"/>
      <c r="F401" s="59"/>
      <c r="G401" s="59"/>
      <c r="H401" s="59"/>
      <c r="I401" s="59"/>
      <c r="J401" s="59"/>
      <c r="K401" s="59"/>
      <c r="L401" s="59"/>
      <c r="M401" s="59"/>
      <c r="N401" s="59"/>
      <c r="O401" s="59"/>
      <c r="P401" s="59"/>
      <c r="Q401" s="59"/>
      <c r="R401" s="59"/>
      <c r="S401" s="59"/>
      <c r="T401" s="59"/>
      <c r="U401" s="59"/>
      <c r="V401" s="60"/>
      <c r="W401" s="60"/>
      <c r="X401" s="60"/>
      <c r="Y401" s="60"/>
      <c r="Z401" s="60"/>
      <c r="AA401" s="61"/>
      <c r="AB401" s="54"/>
    </row>
    <row r="402" spans="1:28" ht="39.950000000000003" customHeight="1" x14ac:dyDescent="0.25">
      <c r="A402" s="49"/>
      <c r="B402" s="49"/>
      <c r="C402" s="49"/>
      <c r="D402" s="58"/>
      <c r="E402" s="59"/>
      <c r="F402" s="59"/>
      <c r="G402" s="59"/>
      <c r="H402" s="59"/>
      <c r="I402" s="59"/>
      <c r="J402" s="59"/>
      <c r="K402" s="59"/>
      <c r="L402" s="59"/>
      <c r="M402" s="59"/>
      <c r="N402" s="59"/>
      <c r="O402" s="59"/>
      <c r="P402" s="59"/>
      <c r="Q402" s="59"/>
      <c r="R402" s="59"/>
      <c r="S402" s="59"/>
      <c r="T402" s="59"/>
      <c r="U402" s="59"/>
      <c r="V402" s="60"/>
      <c r="W402" s="60"/>
      <c r="X402" s="60"/>
      <c r="Y402" s="60"/>
      <c r="Z402" s="60"/>
      <c r="AA402" s="61"/>
      <c r="AB402" s="54"/>
    </row>
    <row r="403" spans="1:28" ht="39.950000000000003" customHeight="1" x14ac:dyDescent="0.25">
      <c r="A403" s="49"/>
      <c r="B403" s="49"/>
      <c r="C403" s="49"/>
      <c r="D403" s="58"/>
      <c r="E403" s="59"/>
      <c r="F403" s="59"/>
      <c r="G403" s="59"/>
      <c r="H403" s="59"/>
      <c r="I403" s="59"/>
      <c r="J403" s="59"/>
      <c r="K403" s="59"/>
      <c r="L403" s="59"/>
      <c r="M403" s="59"/>
      <c r="N403" s="59"/>
      <c r="O403" s="59"/>
      <c r="P403" s="59"/>
      <c r="Q403" s="59"/>
      <c r="R403" s="59"/>
      <c r="S403" s="59"/>
      <c r="T403" s="59"/>
      <c r="U403" s="59"/>
      <c r="V403" s="60"/>
      <c r="W403" s="60"/>
      <c r="X403" s="60"/>
      <c r="Y403" s="60"/>
      <c r="Z403" s="60"/>
      <c r="AA403" s="61"/>
      <c r="AB403" s="54"/>
    </row>
    <row r="404" spans="1:28" ht="39.950000000000003" customHeight="1" x14ac:dyDescent="0.25">
      <c r="A404" s="49"/>
      <c r="B404" s="49"/>
      <c r="C404" s="49"/>
      <c r="D404" s="58"/>
      <c r="E404" s="59"/>
      <c r="F404" s="59"/>
      <c r="G404" s="59"/>
      <c r="H404" s="59"/>
      <c r="I404" s="59"/>
      <c r="J404" s="59"/>
      <c r="K404" s="59"/>
      <c r="L404" s="59"/>
      <c r="M404" s="59"/>
      <c r="N404" s="59"/>
      <c r="O404" s="59"/>
      <c r="P404" s="59"/>
      <c r="Q404" s="59"/>
      <c r="R404" s="59"/>
      <c r="S404" s="59"/>
      <c r="T404" s="59"/>
      <c r="U404" s="59"/>
      <c r="V404" s="60"/>
      <c r="W404" s="60"/>
      <c r="X404" s="60"/>
      <c r="Y404" s="60"/>
      <c r="Z404" s="60"/>
      <c r="AA404" s="61"/>
      <c r="AB404" s="54"/>
    </row>
    <row r="405" spans="1:28" ht="39.950000000000003" customHeight="1" x14ac:dyDescent="0.25">
      <c r="A405" s="49"/>
      <c r="B405" s="49"/>
      <c r="C405" s="49"/>
      <c r="D405" s="58"/>
      <c r="E405" s="59"/>
      <c r="F405" s="59"/>
      <c r="G405" s="59"/>
      <c r="H405" s="59"/>
      <c r="I405" s="59"/>
      <c r="J405" s="59"/>
      <c r="K405" s="59"/>
      <c r="L405" s="59"/>
      <c r="M405" s="59"/>
      <c r="N405" s="59"/>
      <c r="O405" s="59"/>
      <c r="P405" s="59"/>
      <c r="Q405" s="59"/>
      <c r="R405" s="59"/>
      <c r="S405" s="59"/>
      <c r="T405" s="59"/>
      <c r="U405" s="59"/>
      <c r="V405" s="60"/>
      <c r="W405" s="60"/>
      <c r="X405" s="60"/>
      <c r="Y405" s="60"/>
      <c r="Z405" s="60"/>
      <c r="AA405" s="61"/>
      <c r="AB405" s="54"/>
    </row>
    <row r="406" spans="1:28" ht="39.950000000000003" customHeight="1" x14ac:dyDescent="0.25">
      <c r="A406" s="49"/>
      <c r="B406" s="49"/>
      <c r="C406" s="49"/>
      <c r="D406" s="58"/>
      <c r="E406" s="59"/>
      <c r="F406" s="59"/>
      <c r="G406" s="59"/>
      <c r="H406" s="59"/>
      <c r="I406" s="59"/>
      <c r="J406" s="59"/>
      <c r="K406" s="59"/>
      <c r="L406" s="59"/>
      <c r="M406" s="59"/>
      <c r="N406" s="59"/>
      <c r="O406" s="59"/>
      <c r="P406" s="59"/>
      <c r="Q406" s="59"/>
      <c r="R406" s="59"/>
      <c r="S406" s="59"/>
      <c r="T406" s="59"/>
      <c r="U406" s="59"/>
      <c r="V406" s="60"/>
      <c r="W406" s="60"/>
      <c r="X406" s="60"/>
      <c r="Y406" s="60"/>
      <c r="Z406" s="60"/>
      <c r="AA406" s="61"/>
      <c r="AB406" s="55"/>
    </row>
    <row r="407" spans="1:28" ht="39.950000000000003" customHeight="1" x14ac:dyDescent="0.25">
      <c r="A407" s="49"/>
      <c r="B407" s="49"/>
      <c r="C407" s="49"/>
      <c r="D407" s="58"/>
      <c r="E407" s="58"/>
      <c r="F407" s="58"/>
      <c r="G407" s="58"/>
      <c r="H407" s="58"/>
      <c r="I407" s="58"/>
      <c r="J407" s="58"/>
      <c r="K407" s="58"/>
      <c r="L407" s="58"/>
      <c r="M407" s="58"/>
      <c r="N407" s="58"/>
      <c r="O407" s="58"/>
      <c r="P407" s="58"/>
      <c r="Q407" s="58"/>
      <c r="R407" s="58"/>
      <c r="S407" s="58"/>
      <c r="T407" s="58"/>
      <c r="U407" s="58"/>
      <c r="V407" s="62"/>
      <c r="W407" s="62"/>
      <c r="X407" s="62"/>
      <c r="Y407" s="62"/>
      <c r="Z407" s="62"/>
      <c r="AA407" s="63"/>
      <c r="AB407" s="49"/>
    </row>
    <row r="408" spans="1:28" ht="39.950000000000003" customHeight="1" x14ac:dyDescent="0.25">
      <c r="A408" s="49"/>
      <c r="B408" s="49"/>
      <c r="C408" s="49"/>
      <c r="D408" s="48"/>
      <c r="E408" s="48"/>
      <c r="F408" s="48"/>
      <c r="G408" s="48"/>
      <c r="H408" s="48"/>
      <c r="I408" s="48"/>
      <c r="J408" s="48"/>
      <c r="K408" s="48"/>
      <c r="L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  <c r="AA408" s="48"/>
      <c r="AB408" s="54"/>
    </row>
    <row r="409" spans="1:28" ht="39.950000000000003" customHeight="1" x14ac:dyDescent="0.25">
      <c r="A409" s="49"/>
      <c r="B409" s="49"/>
      <c r="C409" s="49"/>
      <c r="D409" s="58"/>
      <c r="E409" s="59"/>
      <c r="F409" s="59"/>
      <c r="G409" s="59"/>
      <c r="H409" s="59"/>
      <c r="I409" s="59"/>
      <c r="J409" s="59"/>
      <c r="K409" s="59"/>
      <c r="L409" s="59"/>
      <c r="M409" s="59"/>
      <c r="N409" s="59"/>
      <c r="O409" s="59"/>
      <c r="P409" s="59"/>
      <c r="Q409" s="59"/>
      <c r="R409" s="59"/>
      <c r="S409" s="59"/>
      <c r="T409" s="59"/>
      <c r="U409" s="59"/>
      <c r="V409" s="60"/>
      <c r="W409" s="60"/>
      <c r="X409" s="60"/>
      <c r="Y409" s="60"/>
      <c r="Z409" s="60"/>
      <c r="AA409" s="61"/>
      <c r="AB409" s="54"/>
    </row>
    <row r="410" spans="1:28" ht="39.950000000000003" customHeight="1" x14ac:dyDescent="0.25">
      <c r="A410" s="49"/>
      <c r="B410" s="49"/>
      <c r="C410" s="49"/>
      <c r="D410" s="58"/>
      <c r="E410" s="59"/>
      <c r="F410" s="59"/>
      <c r="G410" s="59"/>
      <c r="H410" s="59"/>
      <c r="I410" s="59"/>
      <c r="J410" s="59"/>
      <c r="K410" s="59"/>
      <c r="L410" s="59"/>
      <c r="M410" s="59"/>
      <c r="N410" s="59"/>
      <c r="O410" s="59"/>
      <c r="P410" s="59"/>
      <c r="Q410" s="59"/>
      <c r="R410" s="59"/>
      <c r="S410" s="59"/>
      <c r="T410" s="59"/>
      <c r="U410" s="59"/>
      <c r="V410" s="60"/>
      <c r="W410" s="60"/>
      <c r="X410" s="60"/>
      <c r="Y410" s="60"/>
      <c r="Z410" s="60"/>
      <c r="AA410" s="61"/>
      <c r="AB410" s="54"/>
    </row>
    <row r="411" spans="1:28" ht="39.950000000000003" customHeight="1" x14ac:dyDescent="0.25">
      <c r="A411" s="49"/>
      <c r="B411" s="49"/>
      <c r="C411" s="49"/>
      <c r="D411" s="58"/>
      <c r="E411" s="59"/>
      <c r="F411" s="59"/>
      <c r="G411" s="59"/>
      <c r="H411" s="59"/>
      <c r="I411" s="59"/>
      <c r="J411" s="59"/>
      <c r="K411" s="59"/>
      <c r="L411" s="59"/>
      <c r="M411" s="59"/>
      <c r="N411" s="59"/>
      <c r="O411" s="59"/>
      <c r="P411" s="59"/>
      <c r="Q411" s="59"/>
      <c r="R411" s="59"/>
      <c r="S411" s="59"/>
      <c r="T411" s="59"/>
      <c r="U411" s="59"/>
      <c r="V411" s="60"/>
      <c r="W411" s="60"/>
      <c r="X411" s="60"/>
      <c r="Y411" s="60"/>
      <c r="Z411" s="60"/>
      <c r="AA411" s="61"/>
      <c r="AB411" s="54"/>
    </row>
    <row r="412" spans="1:28" ht="39.950000000000003" customHeight="1" x14ac:dyDescent="0.25">
      <c r="A412" s="49"/>
      <c r="B412" s="49"/>
      <c r="C412" s="49"/>
      <c r="D412" s="58"/>
      <c r="E412" s="59"/>
      <c r="F412" s="59"/>
      <c r="G412" s="59"/>
      <c r="H412" s="59"/>
      <c r="I412" s="59"/>
      <c r="J412" s="59"/>
      <c r="K412" s="59"/>
      <c r="L412" s="59"/>
      <c r="M412" s="59"/>
      <c r="N412" s="59"/>
      <c r="O412" s="59"/>
      <c r="P412" s="59"/>
      <c r="Q412" s="59"/>
      <c r="R412" s="59"/>
      <c r="S412" s="59"/>
      <c r="T412" s="59"/>
      <c r="U412" s="59"/>
      <c r="V412" s="60"/>
      <c r="W412" s="60"/>
      <c r="X412" s="60"/>
      <c r="Y412" s="60"/>
      <c r="Z412" s="60"/>
      <c r="AA412" s="61"/>
      <c r="AB412" s="54"/>
    </row>
    <row r="413" spans="1:28" ht="39.950000000000003" customHeight="1" x14ac:dyDescent="0.25">
      <c r="A413" s="49"/>
      <c r="B413" s="49"/>
      <c r="C413" s="49"/>
      <c r="D413" s="58"/>
      <c r="E413" s="59"/>
      <c r="F413" s="59"/>
      <c r="G413" s="59"/>
      <c r="H413" s="59"/>
      <c r="I413" s="59"/>
      <c r="J413" s="59"/>
      <c r="K413" s="59"/>
      <c r="L413" s="59"/>
      <c r="M413" s="59"/>
      <c r="N413" s="59"/>
      <c r="O413" s="59"/>
      <c r="P413" s="59"/>
      <c r="Q413" s="59"/>
      <c r="R413" s="59"/>
      <c r="S413" s="59"/>
      <c r="T413" s="59"/>
      <c r="U413" s="59"/>
      <c r="V413" s="60"/>
      <c r="W413" s="60"/>
      <c r="X413" s="60"/>
      <c r="Y413" s="60"/>
      <c r="Z413" s="60"/>
      <c r="AA413" s="61"/>
      <c r="AB413" s="54"/>
    </row>
    <row r="414" spans="1:28" ht="39.950000000000003" customHeight="1" x14ac:dyDescent="0.25">
      <c r="A414" s="49"/>
      <c r="B414" s="49"/>
      <c r="C414" s="49"/>
      <c r="D414" s="58"/>
      <c r="E414" s="58"/>
      <c r="F414" s="58"/>
      <c r="G414" s="58"/>
      <c r="H414" s="58"/>
      <c r="I414" s="58"/>
      <c r="J414" s="58"/>
      <c r="K414" s="58"/>
      <c r="L414" s="58"/>
      <c r="M414" s="58"/>
      <c r="N414" s="58"/>
      <c r="O414" s="58"/>
      <c r="P414" s="58"/>
      <c r="Q414" s="58"/>
      <c r="R414" s="58"/>
      <c r="S414" s="58"/>
      <c r="T414" s="58"/>
      <c r="U414" s="58"/>
      <c r="V414" s="62"/>
      <c r="W414" s="62"/>
      <c r="X414" s="62"/>
      <c r="Y414" s="62"/>
      <c r="Z414" s="62"/>
      <c r="AA414" s="63"/>
      <c r="AB414" s="55"/>
    </row>
    <row r="415" spans="1:28" ht="39.950000000000003" customHeight="1" x14ac:dyDescent="0.25">
      <c r="A415" s="49"/>
      <c r="B415" s="49"/>
      <c r="C415" s="49"/>
      <c r="D415" s="48"/>
      <c r="E415" s="48"/>
      <c r="F415" s="48"/>
      <c r="G415" s="48"/>
      <c r="H415" s="48"/>
      <c r="I415" s="48"/>
      <c r="J415" s="48"/>
      <c r="K415" s="48"/>
      <c r="L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  <c r="AA415" s="48"/>
      <c r="AB415" s="54"/>
    </row>
    <row r="416" spans="1:28" ht="39.950000000000003" customHeight="1" x14ac:dyDescent="0.25">
      <c r="A416" s="49"/>
      <c r="B416" s="49"/>
      <c r="C416" s="49"/>
      <c r="D416" s="58"/>
      <c r="E416" s="59"/>
      <c r="F416" s="59"/>
      <c r="G416" s="59"/>
      <c r="H416" s="59"/>
      <c r="I416" s="59"/>
      <c r="J416" s="59"/>
      <c r="K416" s="59"/>
      <c r="L416" s="59"/>
      <c r="M416" s="59"/>
      <c r="N416" s="59"/>
      <c r="O416" s="59"/>
      <c r="P416" s="59"/>
      <c r="Q416" s="59"/>
      <c r="R416" s="59"/>
      <c r="S416" s="59"/>
      <c r="T416" s="59"/>
      <c r="U416" s="59"/>
      <c r="V416" s="60"/>
      <c r="W416" s="60"/>
      <c r="X416" s="60"/>
      <c r="Y416" s="60"/>
      <c r="Z416" s="60"/>
      <c r="AA416" s="61"/>
      <c r="AB416" s="54"/>
    </row>
    <row r="417" spans="1:28" ht="39.950000000000003" customHeight="1" x14ac:dyDescent="0.25">
      <c r="A417" s="49"/>
      <c r="B417" s="49"/>
      <c r="C417" s="49"/>
      <c r="D417" s="58"/>
      <c r="E417" s="59"/>
      <c r="F417" s="59"/>
      <c r="G417" s="59"/>
      <c r="H417" s="59"/>
      <c r="I417" s="59"/>
      <c r="J417" s="59"/>
      <c r="K417" s="59"/>
      <c r="L417" s="59"/>
      <c r="M417" s="59"/>
      <c r="N417" s="59"/>
      <c r="O417" s="59"/>
      <c r="P417" s="59"/>
      <c r="Q417" s="59"/>
      <c r="R417" s="59"/>
      <c r="S417" s="59"/>
      <c r="T417" s="59"/>
      <c r="U417" s="59"/>
      <c r="V417" s="60"/>
      <c r="W417" s="60"/>
      <c r="X417" s="60"/>
      <c r="Y417" s="60"/>
      <c r="Z417" s="60"/>
      <c r="AA417" s="61"/>
      <c r="AB417" s="54"/>
    </row>
    <row r="418" spans="1:28" ht="39.950000000000003" customHeight="1" x14ac:dyDescent="0.25">
      <c r="A418" s="49"/>
      <c r="B418" s="49"/>
      <c r="C418" s="49"/>
      <c r="D418" s="58"/>
      <c r="E418" s="59"/>
      <c r="F418" s="59"/>
      <c r="G418" s="59"/>
      <c r="H418" s="59"/>
      <c r="I418" s="59"/>
      <c r="J418" s="59"/>
      <c r="K418" s="59"/>
      <c r="L418" s="59"/>
      <c r="M418" s="59"/>
      <c r="N418" s="59"/>
      <c r="O418" s="59"/>
      <c r="P418" s="59"/>
      <c r="Q418" s="59"/>
      <c r="R418" s="59"/>
      <c r="S418" s="59"/>
      <c r="T418" s="59"/>
      <c r="U418" s="59"/>
      <c r="V418" s="60"/>
      <c r="W418" s="60"/>
      <c r="X418" s="60"/>
      <c r="Y418" s="60"/>
      <c r="Z418" s="60"/>
      <c r="AA418" s="61"/>
      <c r="AB418" s="54"/>
    </row>
    <row r="419" spans="1:28" ht="39.950000000000003" customHeight="1" x14ac:dyDescent="0.25">
      <c r="A419" s="49"/>
      <c r="B419" s="49"/>
      <c r="C419" s="49"/>
      <c r="D419" s="58"/>
      <c r="E419" s="59"/>
      <c r="F419" s="59"/>
      <c r="G419" s="59"/>
      <c r="H419" s="59"/>
      <c r="I419" s="59"/>
      <c r="J419" s="59"/>
      <c r="K419" s="59"/>
      <c r="L419" s="59"/>
      <c r="M419" s="59"/>
      <c r="N419" s="59"/>
      <c r="O419" s="59"/>
      <c r="P419" s="59"/>
      <c r="Q419" s="59"/>
      <c r="R419" s="59"/>
      <c r="S419" s="59"/>
      <c r="T419" s="59"/>
      <c r="U419" s="59"/>
      <c r="V419" s="60"/>
      <c r="W419" s="60"/>
      <c r="X419" s="60"/>
      <c r="Y419" s="60"/>
      <c r="Z419" s="60"/>
      <c r="AA419" s="61"/>
      <c r="AB419" s="54"/>
    </row>
    <row r="420" spans="1:28" ht="39.950000000000003" customHeight="1" x14ac:dyDescent="0.25">
      <c r="A420" s="49"/>
      <c r="B420" s="49"/>
      <c r="C420" s="49"/>
      <c r="D420" s="58"/>
      <c r="E420" s="59"/>
      <c r="F420" s="59"/>
      <c r="G420" s="59"/>
      <c r="H420" s="59"/>
      <c r="I420" s="59"/>
      <c r="J420" s="59"/>
      <c r="K420" s="59"/>
      <c r="L420" s="59"/>
      <c r="M420" s="59"/>
      <c r="N420" s="59"/>
      <c r="O420" s="59"/>
      <c r="P420" s="59"/>
      <c r="Q420" s="59"/>
      <c r="R420" s="59"/>
      <c r="S420" s="59"/>
      <c r="T420" s="59"/>
      <c r="U420" s="59"/>
      <c r="V420" s="60"/>
      <c r="W420" s="60"/>
      <c r="X420" s="60"/>
      <c r="Y420" s="60"/>
      <c r="Z420" s="60"/>
      <c r="AA420" s="61"/>
      <c r="AB420" s="54"/>
    </row>
    <row r="421" spans="1:28" ht="39.950000000000003" customHeight="1" x14ac:dyDescent="0.25">
      <c r="A421" s="49"/>
      <c r="B421" s="49"/>
      <c r="C421" s="49"/>
      <c r="D421" s="58"/>
      <c r="E421" s="59"/>
      <c r="F421" s="59"/>
      <c r="G421" s="59"/>
      <c r="H421" s="59"/>
      <c r="I421" s="59"/>
      <c r="J421" s="59"/>
      <c r="K421" s="59"/>
      <c r="L421" s="59"/>
      <c r="M421" s="59"/>
      <c r="N421" s="59"/>
      <c r="O421" s="59"/>
      <c r="P421" s="59"/>
      <c r="Q421" s="59"/>
      <c r="R421" s="59"/>
      <c r="S421" s="59"/>
      <c r="T421" s="59"/>
      <c r="U421" s="59"/>
      <c r="V421" s="60"/>
      <c r="W421" s="60"/>
      <c r="X421" s="60"/>
      <c r="Y421" s="60"/>
      <c r="Z421" s="60"/>
      <c r="AA421" s="61"/>
      <c r="AB421" s="54"/>
    </row>
    <row r="422" spans="1:28" ht="39.950000000000003" customHeight="1" x14ac:dyDescent="0.25">
      <c r="A422" s="49"/>
      <c r="B422" s="49"/>
      <c r="C422" s="49"/>
      <c r="D422" s="58"/>
      <c r="E422" s="58"/>
      <c r="F422" s="58"/>
      <c r="G422" s="58"/>
      <c r="H422" s="58"/>
      <c r="I422" s="58"/>
      <c r="J422" s="58"/>
      <c r="K422" s="58"/>
      <c r="L422" s="58"/>
      <c r="M422" s="58"/>
      <c r="N422" s="58"/>
      <c r="O422" s="58"/>
      <c r="P422" s="58"/>
      <c r="Q422" s="58"/>
      <c r="R422" s="58"/>
      <c r="S422" s="58"/>
      <c r="T422" s="58"/>
      <c r="U422" s="58"/>
      <c r="V422" s="62"/>
      <c r="W422" s="62"/>
      <c r="X422" s="62"/>
      <c r="Y422" s="62"/>
      <c r="Z422" s="62"/>
      <c r="AA422" s="63"/>
      <c r="AB422" s="55"/>
    </row>
    <row r="423" spans="1:28" ht="39.950000000000003" customHeight="1" x14ac:dyDescent="0.25">
      <c r="A423" s="49"/>
      <c r="B423" s="49"/>
      <c r="C423" s="49"/>
      <c r="D423" s="48"/>
      <c r="E423" s="48"/>
      <c r="F423" s="48"/>
      <c r="G423" s="48"/>
      <c r="H423" s="48"/>
      <c r="I423" s="48"/>
      <c r="J423" s="48"/>
      <c r="K423" s="48"/>
      <c r="L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  <c r="AA423" s="48"/>
      <c r="AB423" s="54"/>
    </row>
    <row r="424" spans="1:28" ht="39.950000000000003" customHeight="1" x14ac:dyDescent="0.5">
      <c r="A424" s="49"/>
      <c r="B424" s="49"/>
      <c r="C424" s="49"/>
      <c r="D424" s="50"/>
      <c r="E424" s="51"/>
      <c r="F424" s="51"/>
      <c r="G424" s="51"/>
      <c r="H424" s="51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2"/>
      <c r="W424" s="52"/>
      <c r="X424" s="52"/>
      <c r="Y424" s="52"/>
      <c r="Z424" s="52"/>
      <c r="AA424" s="53"/>
      <c r="AB424" s="54"/>
    </row>
    <row r="425" spans="1:28" ht="39.950000000000003" customHeight="1" x14ac:dyDescent="0.5">
      <c r="A425" s="49"/>
      <c r="B425" s="49"/>
      <c r="C425" s="49"/>
      <c r="D425" s="50"/>
      <c r="E425" s="51"/>
      <c r="F425" s="51"/>
      <c r="G425" s="51"/>
      <c r="H425" s="51"/>
      <c r="I425" s="51"/>
      <c r="J425" s="51"/>
      <c r="K425" s="51"/>
      <c r="L425" s="51"/>
      <c r="M425" s="51"/>
      <c r="N425" s="51"/>
      <c r="O425" s="51"/>
      <c r="P425" s="51"/>
      <c r="Q425" s="51"/>
      <c r="R425" s="51"/>
      <c r="S425" s="51"/>
      <c r="T425" s="51"/>
      <c r="U425" s="51"/>
      <c r="V425" s="52"/>
      <c r="W425" s="52"/>
      <c r="X425" s="52"/>
      <c r="Y425" s="52"/>
      <c r="Z425" s="52"/>
      <c r="AA425" s="53"/>
      <c r="AB425" s="80"/>
    </row>
    <row r="426" spans="1:28" ht="39.950000000000003" customHeight="1" x14ac:dyDescent="0.5">
      <c r="A426" s="49"/>
      <c r="B426" s="49"/>
      <c r="C426" s="49"/>
      <c r="D426" s="50"/>
      <c r="E426" s="51"/>
      <c r="F426" s="51"/>
      <c r="G426" s="51"/>
      <c r="H426" s="51"/>
      <c r="I426" s="51"/>
      <c r="J426" s="51"/>
      <c r="K426" s="51"/>
      <c r="L426" s="51"/>
      <c r="M426" s="51"/>
      <c r="N426" s="51"/>
      <c r="O426" s="51"/>
      <c r="P426" s="51"/>
      <c r="Q426" s="51"/>
      <c r="R426" s="51"/>
      <c r="S426" s="51"/>
      <c r="T426" s="51"/>
      <c r="U426" s="51"/>
      <c r="V426" s="52"/>
      <c r="W426" s="52"/>
      <c r="X426" s="52"/>
      <c r="Y426" s="52"/>
      <c r="Z426" s="52"/>
      <c r="AA426" s="53"/>
      <c r="AB426" s="80"/>
    </row>
    <row r="427" spans="1:28" ht="39.950000000000003" customHeight="1" x14ac:dyDescent="0.5">
      <c r="A427" s="49"/>
      <c r="B427" s="49"/>
      <c r="C427" s="49"/>
      <c r="D427" s="50"/>
      <c r="E427" s="51"/>
      <c r="F427" s="51"/>
      <c r="G427" s="51"/>
      <c r="H427" s="51"/>
      <c r="I427" s="51"/>
      <c r="J427" s="51"/>
      <c r="K427" s="51"/>
      <c r="L427" s="51"/>
      <c r="M427" s="51"/>
      <c r="N427" s="51"/>
      <c r="O427" s="51"/>
      <c r="P427" s="51"/>
      <c r="Q427" s="51"/>
      <c r="R427" s="51"/>
      <c r="S427" s="51"/>
      <c r="T427" s="51"/>
      <c r="U427" s="51"/>
      <c r="V427" s="52"/>
      <c r="W427" s="52"/>
      <c r="X427" s="52"/>
      <c r="Y427" s="52"/>
      <c r="Z427" s="52"/>
      <c r="AA427" s="53"/>
      <c r="AB427" s="80"/>
    </row>
    <row r="428" spans="1:28" ht="39.950000000000003" customHeight="1" x14ac:dyDescent="0.5">
      <c r="A428" s="49"/>
      <c r="B428" s="49"/>
      <c r="C428" s="49"/>
      <c r="D428" s="50"/>
      <c r="E428" s="51"/>
      <c r="F428" s="51"/>
      <c r="G428" s="51"/>
      <c r="H428" s="51"/>
      <c r="I428" s="51"/>
      <c r="J428" s="51"/>
      <c r="K428" s="51"/>
      <c r="L428" s="51"/>
      <c r="M428" s="51"/>
      <c r="N428" s="51"/>
      <c r="O428" s="51"/>
      <c r="P428" s="51"/>
      <c r="Q428" s="51"/>
      <c r="R428" s="51"/>
      <c r="S428" s="51"/>
      <c r="T428" s="51"/>
      <c r="U428" s="51"/>
      <c r="V428" s="52"/>
      <c r="W428" s="52"/>
      <c r="X428" s="52"/>
      <c r="Y428" s="52"/>
      <c r="Z428" s="52"/>
      <c r="AA428" s="53"/>
      <c r="AB428" s="80"/>
    </row>
    <row r="429" spans="1:28" ht="39.950000000000003" customHeight="1" x14ac:dyDescent="0.5">
      <c r="A429" s="49"/>
      <c r="B429" s="49"/>
      <c r="C429" s="49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0"/>
      <c r="O429" s="50"/>
      <c r="P429" s="50"/>
      <c r="Q429" s="50"/>
      <c r="R429" s="50"/>
      <c r="S429" s="50"/>
      <c r="T429" s="50"/>
      <c r="U429" s="50"/>
      <c r="V429" s="56"/>
      <c r="W429" s="56"/>
      <c r="X429" s="56"/>
      <c r="Y429" s="56"/>
      <c r="Z429" s="56"/>
      <c r="AA429" s="57"/>
      <c r="AB429" s="80"/>
    </row>
    <row r="430" spans="1:28" ht="39.950000000000003" customHeight="1" x14ac:dyDescent="0.5">
      <c r="A430" s="49"/>
      <c r="B430" s="49"/>
      <c r="C430" s="49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  <c r="AA430" s="43"/>
      <c r="AB430" s="80"/>
    </row>
    <row r="431" spans="1:28" ht="39.950000000000003" customHeight="1" x14ac:dyDescent="0.5">
      <c r="A431" s="49"/>
      <c r="B431" s="49"/>
      <c r="C431" s="49"/>
      <c r="D431" s="50"/>
      <c r="E431" s="51"/>
      <c r="F431" s="51"/>
      <c r="G431" s="51"/>
      <c r="H431" s="51"/>
      <c r="I431" s="51"/>
      <c r="J431" s="51"/>
      <c r="K431" s="51"/>
      <c r="L431" s="51"/>
      <c r="M431" s="51"/>
      <c r="N431" s="51"/>
      <c r="O431" s="51"/>
      <c r="P431" s="51"/>
      <c r="Q431" s="51"/>
      <c r="R431" s="51"/>
      <c r="S431" s="51"/>
      <c r="T431" s="51"/>
      <c r="U431" s="51"/>
      <c r="V431" s="52"/>
      <c r="W431" s="52"/>
      <c r="X431" s="52"/>
      <c r="Y431" s="52"/>
      <c r="Z431" s="52"/>
      <c r="AA431" s="53"/>
      <c r="AB431" s="172"/>
    </row>
    <row r="432" spans="1:28" ht="39.950000000000003" customHeight="1" x14ac:dyDescent="0.5">
      <c r="A432" s="49"/>
      <c r="B432" s="49"/>
      <c r="C432" s="49"/>
      <c r="D432" s="50"/>
      <c r="E432" s="51"/>
      <c r="F432" s="51"/>
      <c r="G432" s="51"/>
      <c r="H432" s="51"/>
      <c r="I432" s="51"/>
      <c r="J432" s="51"/>
      <c r="K432" s="51"/>
      <c r="L432" s="51"/>
      <c r="M432" s="51"/>
      <c r="N432" s="51"/>
      <c r="O432" s="51"/>
      <c r="P432" s="51"/>
      <c r="Q432" s="51"/>
      <c r="R432" s="51"/>
      <c r="S432" s="51"/>
      <c r="T432" s="51"/>
      <c r="U432" s="51"/>
      <c r="V432" s="52"/>
      <c r="W432" s="52"/>
      <c r="X432" s="52"/>
      <c r="Y432" s="52"/>
      <c r="Z432" s="52"/>
      <c r="AA432" s="53"/>
      <c r="AB432" s="80"/>
    </row>
    <row r="433" spans="1:28" ht="39.950000000000003" customHeight="1" x14ac:dyDescent="0.5">
      <c r="A433" s="49"/>
      <c r="B433" s="49"/>
      <c r="C433" s="49"/>
      <c r="D433" s="50"/>
      <c r="E433" s="51"/>
      <c r="F433" s="51"/>
      <c r="G433" s="51"/>
      <c r="H433" s="51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2"/>
      <c r="W433" s="52"/>
      <c r="X433" s="52"/>
      <c r="Y433" s="52"/>
      <c r="Z433" s="52"/>
      <c r="AA433" s="53"/>
      <c r="AB433" s="80"/>
    </row>
    <row r="434" spans="1:28" ht="39.950000000000003" customHeight="1" x14ac:dyDescent="0.5">
      <c r="A434" s="49"/>
      <c r="B434" s="49"/>
      <c r="C434" s="49"/>
      <c r="D434" s="50"/>
      <c r="E434" s="51"/>
      <c r="F434" s="51"/>
      <c r="G434" s="51"/>
      <c r="H434" s="51"/>
      <c r="I434" s="51"/>
      <c r="J434" s="51"/>
      <c r="K434" s="51"/>
      <c r="L434" s="51"/>
      <c r="M434" s="51"/>
      <c r="N434" s="51"/>
      <c r="O434" s="51"/>
      <c r="P434" s="51"/>
      <c r="Q434" s="51"/>
      <c r="R434" s="51"/>
      <c r="S434" s="51"/>
      <c r="T434" s="51"/>
      <c r="U434" s="51"/>
      <c r="V434" s="52"/>
      <c r="W434" s="52"/>
      <c r="X434" s="52"/>
      <c r="Y434" s="52"/>
      <c r="Z434" s="52"/>
      <c r="AA434" s="53"/>
      <c r="AB434" s="80"/>
    </row>
    <row r="435" spans="1:28" ht="39.950000000000003" customHeight="1" x14ac:dyDescent="0.5">
      <c r="A435" s="49"/>
      <c r="B435" s="49"/>
      <c r="C435" s="49"/>
      <c r="D435" s="50"/>
      <c r="E435" s="51"/>
      <c r="F435" s="51"/>
      <c r="G435" s="51"/>
      <c r="H435" s="51"/>
      <c r="I435" s="51"/>
      <c r="J435" s="51"/>
      <c r="K435" s="51"/>
      <c r="L435" s="51"/>
      <c r="M435" s="51"/>
      <c r="N435" s="51"/>
      <c r="O435" s="51"/>
      <c r="P435" s="51"/>
      <c r="Q435" s="51"/>
      <c r="R435" s="51"/>
      <c r="S435" s="51"/>
      <c r="T435" s="51"/>
      <c r="U435" s="51"/>
      <c r="V435" s="52"/>
      <c r="W435" s="52"/>
      <c r="X435" s="52"/>
      <c r="Y435" s="52"/>
      <c r="Z435" s="52"/>
      <c r="AA435" s="53"/>
      <c r="AB435" s="80"/>
    </row>
    <row r="436" spans="1:28" ht="39.950000000000003" customHeight="1" x14ac:dyDescent="0.5">
      <c r="A436" s="49"/>
      <c r="B436" s="49"/>
      <c r="C436" s="49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0"/>
      <c r="O436" s="50"/>
      <c r="P436" s="50"/>
      <c r="Q436" s="50"/>
      <c r="R436" s="50"/>
      <c r="S436" s="50"/>
      <c r="T436" s="50"/>
      <c r="U436" s="50"/>
      <c r="V436" s="56"/>
      <c r="W436" s="56"/>
      <c r="X436" s="56"/>
      <c r="Y436" s="56"/>
      <c r="Z436" s="56"/>
      <c r="AA436" s="57"/>
      <c r="AB436" s="80"/>
    </row>
    <row r="437" spans="1:28" ht="39.950000000000003" customHeight="1" x14ac:dyDescent="0.55000000000000004">
      <c r="A437" s="49"/>
      <c r="B437" s="49"/>
      <c r="C437" s="49"/>
      <c r="D437" s="81"/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  <c r="AA437" s="43"/>
      <c r="AB437" s="80"/>
    </row>
  </sheetData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27E18-1833-4233-B8B1-BA1BDC5E99E5}">
  <sheetPr codeName="Sheet12"/>
  <dimension ref="A1:TM51"/>
  <sheetViews>
    <sheetView zoomScale="55" zoomScaleNormal="55" workbookViewId="0">
      <selection activeCell="A2" sqref="A2:AB8"/>
    </sheetView>
  </sheetViews>
  <sheetFormatPr defaultColWidth="18.7109375" defaultRowHeight="45" customHeight="1" x14ac:dyDescent="0.25"/>
  <cols>
    <col min="1" max="1" width="37.28515625" style="108" customWidth="1"/>
    <col min="2" max="2" width="18" style="108" bestFit="1" customWidth="1"/>
    <col min="3" max="3" width="13.28515625" style="108" bestFit="1" customWidth="1"/>
    <col min="4" max="4" width="40.28515625" style="108" bestFit="1" customWidth="1"/>
    <col min="5" max="5" width="10.140625" style="108" bestFit="1" customWidth="1"/>
    <col min="6" max="6" width="9.42578125" style="108" bestFit="1" customWidth="1"/>
    <col min="7" max="7" width="10.140625" style="108" bestFit="1" customWidth="1"/>
    <col min="8" max="8" width="9.42578125" style="108" bestFit="1" customWidth="1"/>
    <col min="9" max="9" width="10.42578125" style="108" bestFit="1" customWidth="1"/>
    <col min="10" max="11" width="9.7109375" style="108" bestFit="1" customWidth="1"/>
    <col min="12" max="12" width="9" style="108" bestFit="1" customWidth="1"/>
    <col min="13" max="13" width="13.42578125" style="108" bestFit="1" customWidth="1"/>
    <col min="14" max="14" width="13.28515625" style="108" bestFit="1" customWidth="1"/>
    <col min="15" max="15" width="18.85546875" style="108" bestFit="1" customWidth="1"/>
    <col min="16" max="16" width="9.7109375" style="108" bestFit="1" customWidth="1"/>
    <col min="17" max="17" width="9.140625" style="108" bestFit="1" customWidth="1"/>
    <col min="18" max="18" width="9.42578125" style="108" bestFit="1" customWidth="1"/>
    <col min="19" max="19" width="8.7109375" style="108" bestFit="1" customWidth="1"/>
    <col min="20" max="20" width="9.7109375" style="108" bestFit="1" customWidth="1"/>
    <col min="21" max="21" width="8.7109375" style="108" bestFit="1" customWidth="1"/>
    <col min="22" max="23" width="24.28515625" style="108" customWidth="1"/>
    <col min="24" max="24" width="21.28515625" style="108" customWidth="1"/>
    <col min="25" max="25" width="19.28515625" style="108" bestFit="1" customWidth="1"/>
    <col min="26" max="26" width="19.42578125" style="108" customWidth="1"/>
    <col min="27" max="27" width="18.85546875" style="108" bestFit="1" customWidth="1"/>
    <col min="28" max="28" width="15.28515625" style="108" bestFit="1" customWidth="1"/>
    <col min="29" max="34" width="18.7109375" style="108"/>
    <col min="35" max="35" width="37.85546875" style="108" bestFit="1" customWidth="1"/>
    <col min="36" max="37" width="18.7109375" style="108"/>
    <col min="38" max="38" width="41.7109375" style="108" bestFit="1" customWidth="1"/>
    <col min="39" max="39" width="10.5703125" style="108" bestFit="1" customWidth="1"/>
    <col min="40" max="40" width="9.7109375" style="108" bestFit="1" customWidth="1"/>
    <col min="41" max="41" width="10.5703125" style="108" bestFit="1" customWidth="1"/>
    <col min="42" max="42" width="9.7109375" style="108" bestFit="1" customWidth="1"/>
    <col min="43" max="43" width="11" style="108" bestFit="1" customWidth="1"/>
    <col min="44" max="44" width="10.28515625" style="108" bestFit="1" customWidth="1"/>
    <col min="45" max="45" width="10" style="108" bestFit="1" customWidth="1"/>
    <col min="46" max="46" width="9.28515625" style="108" bestFit="1" customWidth="1"/>
    <col min="47" max="47" width="13.7109375" style="108" bestFit="1" customWidth="1"/>
    <col min="48" max="48" width="13.42578125" style="108" bestFit="1" customWidth="1"/>
    <col min="49" max="56" width="18.7109375" style="108"/>
    <col min="57" max="57" width="26.42578125" style="108" bestFit="1" customWidth="1"/>
    <col min="58" max="16384" width="18.7109375" style="108"/>
  </cols>
  <sheetData>
    <row r="1" spans="1:533" ht="45" customHeight="1" x14ac:dyDescent="0.5">
      <c r="A1" s="84" t="s">
        <v>22</v>
      </c>
      <c r="B1" s="84" t="s">
        <v>25</v>
      </c>
      <c r="C1" s="84" t="s">
        <v>24</v>
      </c>
      <c r="D1" s="84" t="s">
        <v>23</v>
      </c>
      <c r="E1" s="85" t="s">
        <v>0</v>
      </c>
      <c r="F1" s="85" t="s">
        <v>1</v>
      </c>
      <c r="G1" s="85" t="s">
        <v>2</v>
      </c>
      <c r="H1" s="85" t="s">
        <v>3</v>
      </c>
      <c r="I1" s="85" t="s">
        <v>4</v>
      </c>
      <c r="J1" s="85" t="s">
        <v>5</v>
      </c>
      <c r="K1" s="85" t="s">
        <v>6</v>
      </c>
      <c r="L1" s="85" t="s">
        <v>7</v>
      </c>
      <c r="M1" s="85" t="s">
        <v>8</v>
      </c>
      <c r="N1" s="85" t="s">
        <v>9</v>
      </c>
      <c r="O1" s="85" t="s">
        <v>10</v>
      </c>
      <c r="P1" s="85" t="s">
        <v>11</v>
      </c>
      <c r="Q1" s="85" t="s">
        <v>12</v>
      </c>
      <c r="R1" s="85" t="s">
        <v>13</v>
      </c>
      <c r="S1" s="85" t="s">
        <v>14</v>
      </c>
      <c r="T1" s="85" t="s">
        <v>15</v>
      </c>
      <c r="U1" s="85" t="s">
        <v>16</v>
      </c>
      <c r="V1" s="85" t="s">
        <v>17</v>
      </c>
      <c r="W1" s="85" t="s">
        <v>64</v>
      </c>
      <c r="X1" s="85" t="s">
        <v>18</v>
      </c>
      <c r="Y1" s="85" t="s">
        <v>19</v>
      </c>
      <c r="Z1" s="85" t="s">
        <v>20</v>
      </c>
      <c r="AA1" s="85" t="s">
        <v>21</v>
      </c>
      <c r="AB1" s="85" t="s">
        <v>26</v>
      </c>
      <c r="AC1" s="150"/>
      <c r="AD1" s="167" t="s">
        <v>31</v>
      </c>
      <c r="AJ1" s="119">
        <v>1</v>
      </c>
      <c r="AK1" s="119"/>
      <c r="AL1" s="84" t="s">
        <v>23</v>
      </c>
      <c r="AM1" s="85" t="s">
        <v>0</v>
      </c>
      <c r="AN1" s="85" t="s">
        <v>1</v>
      </c>
      <c r="AO1" s="85" t="s">
        <v>2</v>
      </c>
      <c r="AP1" s="85" t="s">
        <v>3</v>
      </c>
      <c r="AQ1" s="85" t="s">
        <v>4</v>
      </c>
      <c r="AR1" s="85" t="s">
        <v>5</v>
      </c>
      <c r="AS1" s="85" t="s">
        <v>6</v>
      </c>
      <c r="AT1" s="85" t="s">
        <v>7</v>
      </c>
      <c r="AU1" s="85" t="s">
        <v>8</v>
      </c>
      <c r="AV1" s="85" t="s">
        <v>9</v>
      </c>
      <c r="AW1" s="85" t="s">
        <v>10</v>
      </c>
      <c r="AX1" s="85" t="s">
        <v>11</v>
      </c>
      <c r="AY1" s="85" t="s">
        <v>12</v>
      </c>
      <c r="AZ1" s="85" t="s">
        <v>13</v>
      </c>
      <c r="BA1" s="85" t="s">
        <v>14</v>
      </c>
      <c r="BB1" s="85" t="s">
        <v>15</v>
      </c>
      <c r="BC1" s="85" t="s">
        <v>16</v>
      </c>
      <c r="BD1" s="85" t="s">
        <v>17</v>
      </c>
      <c r="BE1" s="85" t="s">
        <v>64</v>
      </c>
      <c r="BF1" s="85" t="s">
        <v>18</v>
      </c>
      <c r="BG1" s="85" t="s">
        <v>19</v>
      </c>
      <c r="BH1" s="85" t="s">
        <v>20</v>
      </c>
      <c r="BI1" s="85" t="s">
        <v>21</v>
      </c>
      <c r="BJ1" s="85" t="s">
        <v>26</v>
      </c>
    </row>
    <row r="2" spans="1:533" ht="45" customHeight="1" x14ac:dyDescent="0.5">
      <c r="A2" s="44" t="str">
        <f>D8</f>
        <v>The Warriors</v>
      </c>
      <c r="B2" s="44">
        <v>3</v>
      </c>
      <c r="C2" s="44">
        <v>7</v>
      </c>
      <c r="D2" s="86" t="s">
        <v>65</v>
      </c>
      <c r="E2" s="87">
        <v>3</v>
      </c>
      <c r="F2" s="87">
        <v>8</v>
      </c>
      <c r="G2" s="87">
        <v>1</v>
      </c>
      <c r="H2" s="87">
        <v>3</v>
      </c>
      <c r="I2" s="87">
        <f>E2+G2</f>
        <v>4</v>
      </c>
      <c r="J2" s="87">
        <f>F2+H2</f>
        <v>11</v>
      </c>
      <c r="K2" s="87">
        <v>1</v>
      </c>
      <c r="L2" s="87">
        <v>1</v>
      </c>
      <c r="M2" s="87">
        <v>3</v>
      </c>
      <c r="N2" s="87">
        <v>4</v>
      </c>
      <c r="O2" s="87">
        <f>E2*2+G2*3+K2</f>
        <v>10</v>
      </c>
      <c r="P2" s="87">
        <f>M2+N2</f>
        <v>7</v>
      </c>
      <c r="Q2" s="87">
        <v>2</v>
      </c>
      <c r="R2" s="87">
        <v>0</v>
      </c>
      <c r="S2" s="87">
        <v>0</v>
      </c>
      <c r="T2" s="87">
        <v>0</v>
      </c>
      <c r="U2" s="87">
        <v>4</v>
      </c>
      <c r="V2" s="88">
        <f>IFERROR(I2/J2,0)</f>
        <v>0.36363636363636365</v>
      </c>
      <c r="W2" s="88">
        <f>IFERROR(O2/(2*(J2+0.44*L2)), 0)</f>
        <v>0.43706293706293708</v>
      </c>
      <c r="X2" s="88">
        <f>IFERROR(K2/L2,0)</f>
        <v>1</v>
      </c>
      <c r="Y2" s="88">
        <f>IFERROR(E2/F2,0)</f>
        <v>0.375</v>
      </c>
      <c r="Z2" s="88">
        <f>IFERROR(G2/H2,0)</f>
        <v>0.33333333333333331</v>
      </c>
      <c r="AA2" s="89">
        <f>(O2)+(0.4*I2)-(0.7*J2)-(0.4*(L2-K2))+(0.7*M2)+(0.3*N2)+S2+(0.7*Q2)+(0.7*R2)-(0.4*U2)-T2</f>
        <v>7</v>
      </c>
      <c r="AB2" s="110" t="s">
        <v>53</v>
      </c>
      <c r="AC2" s="150"/>
      <c r="AD2" s="167" t="s">
        <v>27</v>
      </c>
      <c r="AL2" s="86" t="s">
        <v>60</v>
      </c>
      <c r="AM2" s="87">
        <v>0</v>
      </c>
      <c r="AN2" s="87">
        <v>0</v>
      </c>
      <c r="AO2" s="87">
        <v>0</v>
      </c>
      <c r="AP2" s="87">
        <v>2</v>
      </c>
      <c r="AQ2" s="87">
        <f>AM2+AO2</f>
        <v>0</v>
      </c>
      <c r="AR2" s="87">
        <f>AN2+AP2</f>
        <v>2</v>
      </c>
      <c r="AS2" s="87">
        <v>0</v>
      </c>
      <c r="AT2" s="87">
        <v>0</v>
      </c>
      <c r="AU2" s="87">
        <v>0</v>
      </c>
      <c r="AV2" s="87">
        <v>2</v>
      </c>
      <c r="AW2" s="87">
        <f>AM2*2+AO2*3+AS2</f>
        <v>0</v>
      </c>
      <c r="AX2" s="87">
        <f>AU2+AV2</f>
        <v>2</v>
      </c>
      <c r="AY2" s="87">
        <v>0</v>
      </c>
      <c r="AZ2" s="87">
        <v>0</v>
      </c>
      <c r="BA2" s="87">
        <v>0</v>
      </c>
      <c r="BB2" s="87">
        <v>0</v>
      </c>
      <c r="BC2" s="87">
        <v>0</v>
      </c>
      <c r="BD2" s="88">
        <f>IFERROR(AQ2/AR2,0)</f>
        <v>0</v>
      </c>
      <c r="BE2" s="88">
        <f>IFERROR(AW2/(2*(AR2+0.44*AT2)), 0)</f>
        <v>0</v>
      </c>
      <c r="BF2" s="88">
        <f>IFERROR(AS2/AT2,0)</f>
        <v>0</v>
      </c>
      <c r="BG2" s="88">
        <f>IFERROR(AM2/AN2,0)</f>
        <v>0</v>
      </c>
      <c r="BH2" s="88">
        <f>IFERROR(AO2/AP2,0)</f>
        <v>0</v>
      </c>
      <c r="BI2" s="89">
        <f>(AW2)+(0.4*AQ2)-(0.7*AR2)-(0.4*(AT2-AS2))+(0.7*AU2)+(0.3*AV2)+BA2+(0.7*AY2)+(0.7*AZ2)-(0.4*BC2)-BB2</f>
        <v>-0.79999999999999993</v>
      </c>
      <c r="BJ2" s="168" t="s">
        <v>27</v>
      </c>
    </row>
    <row r="3" spans="1:533" ht="46.5" customHeight="1" x14ac:dyDescent="0.5">
      <c r="A3" s="44" t="str">
        <f>A2</f>
        <v>The Warriors</v>
      </c>
      <c r="B3" s="44">
        <v>3</v>
      </c>
      <c r="C3" s="44">
        <f>C2</f>
        <v>7</v>
      </c>
      <c r="D3" s="86" t="s">
        <v>28</v>
      </c>
      <c r="E3" s="90">
        <v>5</v>
      </c>
      <c r="F3" s="90">
        <v>8</v>
      </c>
      <c r="G3" s="90">
        <v>1</v>
      </c>
      <c r="H3" s="90">
        <v>8</v>
      </c>
      <c r="I3" s="90">
        <f t="shared" ref="I3:I6" si="0">E3+G3</f>
        <v>6</v>
      </c>
      <c r="J3" s="90">
        <f t="shared" ref="J3:J7" si="1">F3+H3</f>
        <v>16</v>
      </c>
      <c r="K3" s="90">
        <v>2</v>
      </c>
      <c r="L3" s="90">
        <v>4</v>
      </c>
      <c r="M3" s="90">
        <v>4</v>
      </c>
      <c r="N3" s="90">
        <v>4</v>
      </c>
      <c r="O3" s="90">
        <f t="shared" ref="O3:O6" si="2">E3*2+G3*3+K3</f>
        <v>15</v>
      </c>
      <c r="P3" s="90">
        <f t="shared" ref="P3:P6" si="3">M3+N3</f>
        <v>8</v>
      </c>
      <c r="Q3" s="90">
        <v>3</v>
      </c>
      <c r="R3" s="90">
        <v>0</v>
      </c>
      <c r="S3" s="90">
        <v>2</v>
      </c>
      <c r="T3" s="90">
        <v>2</v>
      </c>
      <c r="U3" s="90">
        <v>1</v>
      </c>
      <c r="V3" s="91">
        <f t="shared" ref="V3:V6" si="4">IFERROR(I3/J3,0)</f>
        <v>0.375</v>
      </c>
      <c r="W3" s="91">
        <f t="shared" ref="W3:W6" si="5">IFERROR(O3/(2*(J3+0.44*L3)), 0)</f>
        <v>0.42229729729729726</v>
      </c>
      <c r="X3" s="91">
        <f t="shared" ref="X3:X6" si="6">IFERROR(K3/L3,0)</f>
        <v>0.5</v>
      </c>
      <c r="Y3" s="91">
        <f t="shared" ref="Y3:Y6" si="7">IFERROR(E3/F3,0)</f>
        <v>0.625</v>
      </c>
      <c r="Z3" s="91">
        <f t="shared" ref="Z3:Z7" si="8">IFERROR(G3/H3,0)</f>
        <v>0.125</v>
      </c>
      <c r="AA3" s="92">
        <f t="shared" ref="AA3:AA6" si="9">(O3)+(0.4*I3)-(0.7*J3)-(0.4*(L3-K3))+(0.7*M3)+(0.3*N3)+S3+(0.7*Q3)+(0.7*R3)-(0.4*U3)-T3</f>
        <v>11.099999999999998</v>
      </c>
      <c r="AB3" s="168" t="str">
        <f>AB2</f>
        <v>FINAL</v>
      </c>
      <c r="AC3" s="151"/>
      <c r="AD3" s="110" t="s">
        <v>53</v>
      </c>
      <c r="AE3" s="109"/>
      <c r="AF3" s="109"/>
      <c r="AG3" s="109"/>
      <c r="AH3" s="109"/>
      <c r="AL3" s="86" t="s">
        <v>61</v>
      </c>
      <c r="AM3" s="99">
        <v>3</v>
      </c>
      <c r="AN3" s="99">
        <v>9</v>
      </c>
      <c r="AO3" s="99">
        <v>0</v>
      </c>
      <c r="AP3" s="99">
        <v>4</v>
      </c>
      <c r="AQ3" s="99">
        <f t="shared" ref="AQ3:AQ5" si="10">AM3+AO3</f>
        <v>3</v>
      </c>
      <c r="AR3" s="99">
        <f t="shared" ref="AR3:AR5" si="11">AN3+AP3</f>
        <v>13</v>
      </c>
      <c r="AS3" s="99">
        <v>0</v>
      </c>
      <c r="AT3" s="99">
        <v>0</v>
      </c>
      <c r="AU3" s="99">
        <v>4</v>
      </c>
      <c r="AV3" s="99">
        <v>1</v>
      </c>
      <c r="AW3" s="99">
        <f t="shared" ref="AW3:AW5" si="12">AM3*2+AO3*3+AS3</f>
        <v>6</v>
      </c>
      <c r="AX3" s="99">
        <f t="shared" ref="AX3:AX5" si="13">AU3+AV3</f>
        <v>5</v>
      </c>
      <c r="AY3" s="99">
        <v>1</v>
      </c>
      <c r="AZ3" s="99">
        <v>0</v>
      </c>
      <c r="BA3" s="99">
        <v>2</v>
      </c>
      <c r="BB3" s="99">
        <v>1</v>
      </c>
      <c r="BC3" s="99">
        <v>2</v>
      </c>
      <c r="BD3" s="100">
        <f t="shared" ref="BD3:BD5" si="14">IFERROR(AQ3/AR3,0)</f>
        <v>0.23076923076923078</v>
      </c>
      <c r="BE3" s="100">
        <f t="shared" ref="BE3:BE5" si="15">IFERROR(AW3/(2*(AR3+0.44*AT3)), 0)</f>
        <v>0.23076923076923078</v>
      </c>
      <c r="BF3" s="100">
        <f t="shared" ref="BF3:BF5" si="16">IFERROR(AS3/AT3,0)</f>
        <v>0</v>
      </c>
      <c r="BG3" s="100">
        <f t="shared" ref="BG3:BG5" si="17">IFERROR(AM3/AN3,0)</f>
        <v>0.33333333333333331</v>
      </c>
      <c r="BH3" s="100">
        <f t="shared" ref="BH3:BH5" si="18">IFERROR(AO3/AP3,0)</f>
        <v>0</v>
      </c>
      <c r="BI3" s="101">
        <f t="shared" ref="BI3:BI5" si="19">(AW3)+(0.4*AQ3)-(0.7*AR3)-(0.4*(AT3-AS3))+(0.7*AU3)+(0.3*AV3)+BA3+(0.7*AY3)+(0.7*AZ3)-(0.4*BC3)-BB3</f>
        <v>2.1000000000000005</v>
      </c>
      <c r="BJ3" s="46" t="e">
        <f>#REF!</f>
        <v>#REF!</v>
      </c>
      <c r="BK3" s="109"/>
      <c r="BL3" s="109"/>
      <c r="BM3" s="109"/>
      <c r="BN3" s="109"/>
      <c r="BO3" s="109"/>
      <c r="BP3" s="109"/>
      <c r="BQ3" s="109"/>
      <c r="BR3" s="109"/>
      <c r="BS3" s="109"/>
      <c r="BT3" s="109"/>
      <c r="BU3" s="109"/>
      <c r="BV3" s="109"/>
      <c r="BW3" s="109"/>
      <c r="BX3" s="109"/>
      <c r="BY3" s="109"/>
      <c r="BZ3" s="109"/>
      <c r="CA3" s="109"/>
      <c r="CB3" s="109"/>
      <c r="CC3" s="109"/>
      <c r="CD3" s="109"/>
      <c r="CE3" s="109"/>
      <c r="CF3" s="109"/>
      <c r="CG3" s="109"/>
      <c r="CH3" s="109"/>
      <c r="CI3" s="109"/>
      <c r="CJ3" s="109"/>
      <c r="CK3" s="109"/>
      <c r="CL3" s="109"/>
      <c r="CM3" s="109"/>
      <c r="CN3" s="109"/>
      <c r="CO3" s="109"/>
      <c r="CP3" s="109"/>
      <c r="CQ3" s="109"/>
      <c r="CR3" s="109"/>
      <c r="CS3" s="109"/>
      <c r="CT3" s="109"/>
      <c r="CU3" s="109"/>
      <c r="CV3" s="109"/>
      <c r="CW3" s="109"/>
      <c r="CX3" s="109"/>
      <c r="CY3" s="109"/>
      <c r="CZ3" s="109"/>
      <c r="DA3" s="109"/>
      <c r="DB3" s="109"/>
      <c r="DC3" s="109"/>
      <c r="DD3" s="109"/>
      <c r="DE3" s="109"/>
      <c r="DF3" s="109"/>
      <c r="DG3" s="109"/>
      <c r="DH3" s="109"/>
      <c r="DI3" s="109"/>
      <c r="DJ3" s="109"/>
      <c r="DK3" s="109"/>
      <c r="DL3" s="109"/>
      <c r="DM3" s="109"/>
      <c r="DN3" s="109"/>
      <c r="DO3" s="109"/>
      <c r="DP3" s="109"/>
      <c r="DQ3" s="109"/>
      <c r="DR3" s="109"/>
      <c r="DS3" s="109"/>
      <c r="DT3" s="109"/>
      <c r="DU3" s="109"/>
      <c r="DV3" s="109"/>
      <c r="DW3" s="109"/>
      <c r="DX3" s="109"/>
      <c r="DY3" s="109"/>
      <c r="DZ3" s="109"/>
      <c r="EA3" s="109"/>
      <c r="EB3" s="109"/>
      <c r="EC3" s="109"/>
      <c r="ED3" s="109"/>
      <c r="EE3" s="109"/>
      <c r="EF3" s="109"/>
      <c r="EG3" s="109"/>
      <c r="EH3" s="109"/>
      <c r="EI3" s="109"/>
      <c r="EJ3" s="109"/>
      <c r="EK3" s="109"/>
      <c r="EL3" s="109"/>
      <c r="EM3" s="109"/>
      <c r="EN3" s="109"/>
      <c r="EO3" s="109"/>
      <c r="EP3" s="109"/>
      <c r="EQ3" s="109"/>
      <c r="ER3" s="109"/>
      <c r="ES3" s="109"/>
      <c r="ET3" s="109"/>
      <c r="EU3" s="109"/>
      <c r="EV3" s="109"/>
      <c r="EW3" s="109"/>
      <c r="EX3" s="109"/>
      <c r="EY3" s="109"/>
      <c r="EZ3" s="109"/>
      <c r="FA3" s="109"/>
      <c r="FB3" s="109"/>
      <c r="FC3" s="109"/>
      <c r="FD3" s="109"/>
      <c r="FE3" s="109"/>
      <c r="FF3" s="109"/>
      <c r="FG3" s="109"/>
      <c r="FH3" s="109"/>
      <c r="FI3" s="109"/>
      <c r="FJ3" s="109"/>
      <c r="FK3" s="109"/>
      <c r="FL3" s="109"/>
      <c r="FM3" s="109"/>
      <c r="FN3" s="109"/>
      <c r="FO3" s="109"/>
      <c r="FP3" s="109"/>
      <c r="FQ3" s="109"/>
      <c r="FR3" s="109"/>
      <c r="FS3" s="109"/>
      <c r="FT3" s="109"/>
      <c r="FU3" s="109"/>
      <c r="FV3" s="109"/>
      <c r="FW3" s="109"/>
      <c r="FX3" s="109"/>
      <c r="FY3" s="109"/>
      <c r="FZ3" s="109"/>
      <c r="GA3" s="109"/>
      <c r="GB3" s="109"/>
      <c r="GC3" s="109"/>
      <c r="GD3" s="109"/>
      <c r="GE3" s="109"/>
      <c r="GF3" s="109"/>
      <c r="GG3" s="109"/>
      <c r="GH3" s="109"/>
      <c r="GI3" s="109"/>
      <c r="GJ3" s="109"/>
      <c r="GK3" s="109"/>
      <c r="GL3" s="109"/>
      <c r="GM3" s="109"/>
      <c r="GN3" s="109"/>
      <c r="GO3" s="109"/>
      <c r="GP3" s="109"/>
      <c r="GQ3" s="109"/>
      <c r="GR3" s="109"/>
      <c r="GS3" s="109"/>
      <c r="GT3" s="109"/>
      <c r="GU3" s="109"/>
      <c r="GV3" s="109"/>
      <c r="GW3" s="109"/>
      <c r="GX3" s="109"/>
      <c r="GY3" s="109"/>
      <c r="GZ3" s="109"/>
      <c r="HA3" s="109"/>
      <c r="HB3" s="109"/>
      <c r="HC3" s="109"/>
      <c r="HD3" s="109"/>
      <c r="HE3" s="109"/>
      <c r="HF3" s="109"/>
      <c r="HG3" s="109"/>
      <c r="HH3" s="109"/>
      <c r="HI3" s="109"/>
      <c r="HJ3" s="109"/>
      <c r="HK3" s="109"/>
      <c r="HL3" s="109"/>
      <c r="HM3" s="109"/>
      <c r="HN3" s="109"/>
      <c r="HO3" s="109"/>
      <c r="HP3" s="109"/>
      <c r="HQ3" s="109"/>
      <c r="HR3" s="109"/>
      <c r="HS3" s="109"/>
      <c r="HT3" s="109"/>
      <c r="HU3" s="109"/>
      <c r="HV3" s="109"/>
      <c r="HW3" s="109"/>
      <c r="HX3" s="109"/>
      <c r="HY3" s="109"/>
      <c r="HZ3" s="109"/>
      <c r="IA3" s="109"/>
      <c r="IB3" s="109"/>
      <c r="IC3" s="109"/>
      <c r="ID3" s="109"/>
      <c r="IE3" s="109"/>
      <c r="IF3" s="109"/>
      <c r="IG3" s="109"/>
      <c r="IH3" s="109"/>
      <c r="II3" s="109"/>
      <c r="IJ3" s="109"/>
      <c r="IK3" s="109"/>
      <c r="IL3" s="109"/>
      <c r="IM3" s="109"/>
      <c r="IN3" s="109"/>
      <c r="IO3" s="109"/>
      <c r="IP3" s="109"/>
      <c r="IQ3" s="109"/>
      <c r="IR3" s="109"/>
      <c r="IS3" s="109"/>
      <c r="IT3" s="109"/>
      <c r="IU3" s="109"/>
      <c r="IV3" s="109"/>
      <c r="IW3" s="109"/>
      <c r="IX3" s="109"/>
      <c r="IY3" s="109"/>
      <c r="IZ3" s="109"/>
      <c r="JA3" s="109"/>
      <c r="JB3" s="109"/>
      <c r="JC3" s="109"/>
      <c r="JD3" s="109"/>
      <c r="JE3" s="109"/>
      <c r="JF3" s="109"/>
      <c r="JG3" s="109"/>
      <c r="JH3" s="109"/>
      <c r="JI3" s="109"/>
      <c r="JJ3" s="109"/>
      <c r="JK3" s="109"/>
      <c r="JL3" s="109"/>
      <c r="JM3" s="109"/>
      <c r="JN3" s="109"/>
      <c r="JO3" s="109"/>
      <c r="JP3" s="109"/>
      <c r="JQ3" s="109"/>
      <c r="JR3" s="109"/>
      <c r="JS3" s="109"/>
      <c r="JT3" s="109"/>
      <c r="JU3" s="109"/>
      <c r="JV3" s="109"/>
      <c r="JW3" s="109"/>
      <c r="JX3" s="109"/>
      <c r="JY3" s="109"/>
      <c r="JZ3" s="109"/>
      <c r="KA3" s="109"/>
      <c r="KB3" s="109"/>
      <c r="KC3" s="109"/>
      <c r="KD3" s="109"/>
      <c r="KE3" s="109"/>
      <c r="KF3" s="109"/>
      <c r="KG3" s="109"/>
      <c r="KH3" s="109"/>
      <c r="KI3" s="109"/>
      <c r="KJ3" s="109"/>
      <c r="KK3" s="109"/>
      <c r="KL3" s="109"/>
      <c r="KM3" s="109"/>
      <c r="KN3" s="109"/>
      <c r="KO3" s="109"/>
      <c r="KP3" s="109"/>
      <c r="KQ3" s="109"/>
      <c r="KR3" s="109"/>
      <c r="KS3" s="109"/>
      <c r="KT3" s="109"/>
      <c r="KU3" s="109"/>
      <c r="KV3" s="109"/>
      <c r="KW3" s="109"/>
      <c r="KX3" s="109"/>
      <c r="KY3" s="109"/>
      <c r="KZ3" s="109"/>
      <c r="LA3" s="109"/>
      <c r="LB3" s="109"/>
      <c r="LC3" s="109"/>
      <c r="LD3" s="109"/>
      <c r="LE3" s="109"/>
      <c r="LF3" s="109"/>
      <c r="LG3" s="109"/>
      <c r="LH3" s="109"/>
      <c r="LI3" s="109"/>
      <c r="LJ3" s="109"/>
      <c r="LK3" s="109"/>
      <c r="LL3" s="109"/>
      <c r="LM3" s="109"/>
      <c r="LN3" s="109"/>
      <c r="LO3" s="109"/>
      <c r="LP3" s="109"/>
      <c r="LQ3" s="109"/>
      <c r="LR3" s="109"/>
      <c r="LS3" s="109"/>
      <c r="LT3" s="109"/>
      <c r="LU3" s="109"/>
      <c r="LV3" s="109"/>
      <c r="LW3" s="109"/>
      <c r="LX3" s="109"/>
      <c r="LY3" s="109"/>
      <c r="LZ3" s="109"/>
      <c r="MA3" s="109"/>
      <c r="MB3" s="109"/>
      <c r="MC3" s="109"/>
      <c r="MD3" s="109"/>
      <c r="ME3" s="109"/>
      <c r="MF3" s="109"/>
      <c r="MG3" s="109"/>
      <c r="MH3" s="109"/>
      <c r="MI3" s="109"/>
      <c r="MJ3" s="109"/>
      <c r="MK3" s="109"/>
      <c r="ML3" s="109"/>
      <c r="MM3" s="109"/>
      <c r="MN3" s="109"/>
      <c r="MO3" s="109"/>
      <c r="MP3" s="109"/>
      <c r="MQ3" s="109"/>
      <c r="MR3" s="109"/>
      <c r="MS3" s="109"/>
      <c r="MT3" s="109"/>
      <c r="MU3" s="109"/>
      <c r="MV3" s="109"/>
      <c r="MW3" s="109"/>
      <c r="MX3" s="109"/>
      <c r="MY3" s="109"/>
      <c r="MZ3" s="109"/>
      <c r="NA3" s="109"/>
      <c r="NB3" s="109"/>
      <c r="NC3" s="109"/>
      <c r="ND3" s="109"/>
      <c r="NE3" s="109"/>
      <c r="NF3" s="109"/>
      <c r="NG3" s="109"/>
      <c r="NH3" s="109"/>
      <c r="NI3" s="109"/>
      <c r="NJ3" s="109"/>
      <c r="NK3" s="109"/>
      <c r="NL3" s="109"/>
      <c r="NM3" s="109"/>
      <c r="NN3" s="109"/>
      <c r="NO3" s="109"/>
      <c r="NP3" s="109"/>
      <c r="NQ3" s="109"/>
      <c r="NR3" s="109"/>
      <c r="NS3" s="109"/>
      <c r="NT3" s="109"/>
      <c r="NU3" s="109"/>
      <c r="NV3" s="109"/>
      <c r="NW3" s="109"/>
      <c r="NX3" s="109"/>
      <c r="NY3" s="109"/>
      <c r="NZ3" s="109"/>
      <c r="OA3" s="109"/>
      <c r="OB3" s="109"/>
      <c r="OC3" s="109"/>
      <c r="OD3" s="109"/>
      <c r="OE3" s="109"/>
      <c r="OF3" s="109"/>
      <c r="OG3" s="109"/>
      <c r="OH3" s="109"/>
      <c r="OI3" s="109"/>
      <c r="OJ3" s="109"/>
      <c r="OK3" s="109"/>
      <c r="OL3" s="109"/>
      <c r="OM3" s="109"/>
      <c r="ON3" s="109"/>
      <c r="OO3" s="109"/>
      <c r="OP3" s="109"/>
      <c r="OQ3" s="109"/>
      <c r="OR3" s="109"/>
      <c r="OS3" s="109"/>
      <c r="OT3" s="109"/>
      <c r="OU3" s="109"/>
      <c r="OV3" s="109"/>
      <c r="OW3" s="109"/>
      <c r="OX3" s="109"/>
      <c r="OY3" s="109"/>
      <c r="OZ3" s="109"/>
      <c r="PA3" s="109"/>
      <c r="PB3" s="109"/>
      <c r="PC3" s="109"/>
      <c r="PD3" s="109"/>
      <c r="PE3" s="109"/>
      <c r="PF3" s="109"/>
      <c r="PG3" s="109"/>
      <c r="PH3" s="109"/>
      <c r="PI3" s="109"/>
      <c r="PJ3" s="109"/>
      <c r="PK3" s="109"/>
      <c r="PL3" s="109"/>
      <c r="PM3" s="109"/>
      <c r="PN3" s="109"/>
      <c r="PO3" s="109"/>
      <c r="PP3" s="109"/>
      <c r="PQ3" s="109"/>
      <c r="PR3" s="109"/>
      <c r="PS3" s="109"/>
      <c r="PT3" s="109"/>
      <c r="PU3" s="109"/>
      <c r="PV3" s="109"/>
      <c r="PW3" s="109"/>
      <c r="PX3" s="109"/>
      <c r="PY3" s="109"/>
      <c r="PZ3" s="109"/>
      <c r="QA3" s="109"/>
      <c r="QB3" s="109"/>
      <c r="QC3" s="109"/>
      <c r="QD3" s="109"/>
      <c r="QE3" s="109"/>
      <c r="QF3" s="109"/>
      <c r="QG3" s="109"/>
      <c r="QH3" s="109"/>
      <c r="QI3" s="109"/>
      <c r="QJ3" s="109"/>
      <c r="QK3" s="109"/>
      <c r="QL3" s="109"/>
      <c r="QM3" s="109"/>
      <c r="QN3" s="109"/>
      <c r="QO3" s="109"/>
      <c r="QP3" s="109"/>
      <c r="QQ3" s="109"/>
      <c r="QR3" s="109"/>
      <c r="QS3" s="109"/>
    </row>
    <row r="4" spans="1:533" ht="45" customHeight="1" x14ac:dyDescent="0.5">
      <c r="A4" s="44" t="str">
        <f t="shared" ref="A4:C4" si="20">A3</f>
        <v>The Warriors</v>
      </c>
      <c r="B4" s="44">
        <f t="shared" si="20"/>
        <v>3</v>
      </c>
      <c r="C4" s="44">
        <f t="shared" si="20"/>
        <v>7</v>
      </c>
      <c r="D4" s="86" t="s">
        <v>29</v>
      </c>
      <c r="E4" s="93">
        <v>0</v>
      </c>
      <c r="F4" s="93">
        <v>2</v>
      </c>
      <c r="G4" s="93">
        <v>0</v>
      </c>
      <c r="H4" s="93">
        <v>2</v>
      </c>
      <c r="I4" s="93">
        <f t="shared" si="0"/>
        <v>0</v>
      </c>
      <c r="J4" s="93">
        <f t="shared" si="1"/>
        <v>4</v>
      </c>
      <c r="K4" s="93">
        <v>0</v>
      </c>
      <c r="L4" s="93">
        <v>0</v>
      </c>
      <c r="M4" s="93">
        <v>0</v>
      </c>
      <c r="N4" s="93">
        <v>2</v>
      </c>
      <c r="O4" s="93">
        <f t="shared" si="2"/>
        <v>0</v>
      </c>
      <c r="P4" s="93">
        <f t="shared" si="3"/>
        <v>2</v>
      </c>
      <c r="Q4" s="93">
        <v>2</v>
      </c>
      <c r="R4" s="93">
        <v>0</v>
      </c>
      <c r="S4" s="93">
        <v>2</v>
      </c>
      <c r="T4" s="93">
        <v>0</v>
      </c>
      <c r="U4" s="93">
        <v>4</v>
      </c>
      <c r="V4" s="94">
        <f t="shared" si="4"/>
        <v>0</v>
      </c>
      <c r="W4" s="94">
        <f t="shared" si="5"/>
        <v>0</v>
      </c>
      <c r="X4" s="94">
        <f t="shared" si="6"/>
        <v>0</v>
      </c>
      <c r="Y4" s="94">
        <f t="shared" si="7"/>
        <v>0</v>
      </c>
      <c r="Z4" s="94">
        <f t="shared" si="8"/>
        <v>0</v>
      </c>
      <c r="AA4" s="95">
        <f t="shared" si="9"/>
        <v>-0.39999999999999991</v>
      </c>
      <c r="AB4" s="46" t="str">
        <f t="shared" ref="AB4:AB8" si="21">AB3</f>
        <v>FINAL</v>
      </c>
      <c r="AC4" s="110"/>
      <c r="AD4" s="110"/>
      <c r="AE4" s="110"/>
      <c r="AF4" s="110"/>
      <c r="AG4" s="110"/>
      <c r="AH4" s="110"/>
      <c r="AI4" s="109"/>
      <c r="AL4" s="86" t="s">
        <v>62</v>
      </c>
      <c r="AM4" s="102">
        <v>2</v>
      </c>
      <c r="AN4" s="102">
        <v>5</v>
      </c>
      <c r="AO4" s="102">
        <v>0</v>
      </c>
      <c r="AP4" s="102">
        <v>1</v>
      </c>
      <c r="AQ4" s="102">
        <f t="shared" si="10"/>
        <v>2</v>
      </c>
      <c r="AR4" s="102">
        <f t="shared" si="11"/>
        <v>6</v>
      </c>
      <c r="AS4" s="102">
        <v>1</v>
      </c>
      <c r="AT4" s="102">
        <v>5</v>
      </c>
      <c r="AU4" s="102">
        <v>2</v>
      </c>
      <c r="AV4" s="102">
        <v>6</v>
      </c>
      <c r="AW4" s="102">
        <f t="shared" si="12"/>
        <v>5</v>
      </c>
      <c r="AX4" s="102">
        <f t="shared" si="13"/>
        <v>8</v>
      </c>
      <c r="AY4" s="102">
        <v>5</v>
      </c>
      <c r="AZ4" s="102">
        <v>0</v>
      </c>
      <c r="BA4" s="102">
        <v>2</v>
      </c>
      <c r="BB4" s="102">
        <v>1</v>
      </c>
      <c r="BC4" s="102">
        <v>0</v>
      </c>
      <c r="BD4" s="103">
        <f t="shared" si="14"/>
        <v>0.33333333333333331</v>
      </c>
      <c r="BE4" s="103">
        <f t="shared" si="15"/>
        <v>0.30487804878048785</v>
      </c>
      <c r="BF4" s="103">
        <f t="shared" si="16"/>
        <v>0.2</v>
      </c>
      <c r="BG4" s="103">
        <f t="shared" si="17"/>
        <v>0.4</v>
      </c>
      <c r="BH4" s="103">
        <f t="shared" si="18"/>
        <v>0</v>
      </c>
      <c r="BI4" s="104">
        <f t="shared" si="19"/>
        <v>7.6999999999999993</v>
      </c>
      <c r="BJ4" s="46" t="e">
        <f>BJ3</f>
        <v>#REF!</v>
      </c>
      <c r="BK4" s="110"/>
      <c r="BL4" s="110"/>
      <c r="BM4" s="110"/>
      <c r="BN4" s="111"/>
      <c r="BO4" s="111"/>
      <c r="BP4" s="111"/>
      <c r="BQ4" s="111"/>
      <c r="BR4" s="112"/>
      <c r="BS4" s="109"/>
      <c r="BT4" s="110"/>
      <c r="BU4" s="110"/>
      <c r="BV4" s="110"/>
      <c r="BW4" s="110"/>
      <c r="BX4" s="110"/>
      <c r="BY4" s="110"/>
      <c r="BZ4" s="110"/>
      <c r="CA4" s="110"/>
      <c r="CB4" s="110"/>
      <c r="CC4" s="110"/>
      <c r="CD4" s="110"/>
      <c r="CE4" s="110"/>
      <c r="CF4" s="110"/>
      <c r="CG4" s="110"/>
      <c r="CH4" s="110"/>
      <c r="CI4" s="110"/>
      <c r="CJ4" s="110"/>
      <c r="CK4" s="111"/>
      <c r="CL4" s="111"/>
      <c r="CM4" s="111"/>
      <c r="CN4" s="111"/>
      <c r="CO4" s="112"/>
      <c r="CP4" s="109"/>
      <c r="CQ4" s="110"/>
      <c r="CR4" s="110"/>
      <c r="CS4" s="110"/>
      <c r="CT4" s="110"/>
      <c r="CU4" s="110"/>
      <c r="CV4" s="110"/>
      <c r="CW4" s="110"/>
      <c r="CX4" s="110"/>
      <c r="CY4" s="110"/>
      <c r="CZ4" s="110"/>
      <c r="DA4" s="110"/>
      <c r="DB4" s="110"/>
      <c r="DC4" s="110"/>
      <c r="DD4" s="110"/>
      <c r="DE4" s="110"/>
      <c r="DF4" s="110"/>
      <c r="DG4" s="110"/>
      <c r="DH4" s="111"/>
      <c r="DI4" s="111"/>
      <c r="DJ4" s="111"/>
      <c r="DK4" s="111"/>
      <c r="DL4" s="112"/>
      <c r="DM4" s="109"/>
      <c r="DN4" s="110"/>
      <c r="DO4" s="110"/>
      <c r="DP4" s="110"/>
      <c r="DQ4" s="110"/>
      <c r="DR4" s="110"/>
      <c r="DS4" s="110"/>
      <c r="DT4" s="110"/>
      <c r="DU4" s="110"/>
      <c r="DV4" s="110"/>
      <c r="DW4" s="110"/>
      <c r="DX4" s="110"/>
      <c r="DY4" s="110"/>
      <c r="DZ4" s="110"/>
      <c r="EA4" s="110"/>
      <c r="EB4" s="110"/>
      <c r="EC4" s="110"/>
      <c r="ED4" s="110"/>
      <c r="EE4" s="111"/>
      <c r="EF4" s="111"/>
      <c r="EG4" s="111"/>
      <c r="EH4" s="111"/>
      <c r="EI4" s="112"/>
      <c r="EJ4" s="109"/>
      <c r="EK4" s="110"/>
      <c r="EL4" s="110"/>
      <c r="EM4" s="110"/>
      <c r="EN4" s="110"/>
      <c r="EO4" s="110"/>
      <c r="EP4" s="110"/>
      <c r="EQ4" s="110"/>
      <c r="ER4" s="110"/>
      <c r="ES4" s="110"/>
      <c r="ET4" s="110"/>
      <c r="EU4" s="110"/>
      <c r="EV4" s="110"/>
      <c r="EW4" s="110"/>
      <c r="EX4" s="110"/>
      <c r="EY4" s="110"/>
      <c r="EZ4" s="110"/>
      <c r="FA4" s="110"/>
      <c r="FB4" s="111"/>
      <c r="FC4" s="111"/>
      <c r="FD4" s="111"/>
      <c r="FE4" s="111"/>
      <c r="FF4" s="112"/>
      <c r="FG4" s="109"/>
      <c r="FH4" s="110"/>
      <c r="FI4" s="110"/>
      <c r="FJ4" s="110"/>
      <c r="FK4" s="110"/>
      <c r="FL4" s="110"/>
      <c r="FM4" s="110"/>
      <c r="FN4" s="110"/>
      <c r="FO4" s="110"/>
      <c r="FP4" s="110"/>
      <c r="FQ4" s="110"/>
      <c r="FR4" s="110"/>
      <c r="FS4" s="110"/>
      <c r="FT4" s="110"/>
      <c r="FU4" s="110"/>
      <c r="FV4" s="110"/>
      <c r="FW4" s="110"/>
      <c r="FX4" s="110"/>
      <c r="FY4" s="111"/>
      <c r="FZ4" s="111"/>
      <c r="GA4" s="111"/>
      <c r="GB4" s="111"/>
      <c r="GC4" s="112"/>
      <c r="GD4" s="109"/>
      <c r="GE4" s="110"/>
      <c r="GF4" s="110"/>
      <c r="GG4" s="110"/>
      <c r="GH4" s="110"/>
      <c r="GI4" s="110"/>
      <c r="GJ4" s="110"/>
      <c r="GK4" s="110"/>
      <c r="GL4" s="110"/>
      <c r="GM4" s="110"/>
      <c r="GN4" s="110"/>
      <c r="GO4" s="110"/>
      <c r="GP4" s="110"/>
      <c r="GQ4" s="110"/>
      <c r="GR4" s="110"/>
      <c r="GS4" s="110"/>
      <c r="GT4" s="110"/>
      <c r="GU4" s="110"/>
      <c r="GV4" s="111"/>
      <c r="GW4" s="111"/>
      <c r="GX4" s="111"/>
      <c r="GY4" s="111"/>
      <c r="GZ4" s="112"/>
      <c r="HA4" s="109"/>
      <c r="HB4" s="110"/>
      <c r="HC4" s="110"/>
      <c r="HD4" s="110"/>
      <c r="HE4" s="110"/>
      <c r="HF4" s="110"/>
      <c r="HG4" s="110"/>
      <c r="HH4" s="110"/>
      <c r="HI4" s="110"/>
      <c r="HJ4" s="110"/>
      <c r="HK4" s="110"/>
      <c r="HL4" s="110"/>
      <c r="HM4" s="110"/>
      <c r="HN4" s="110"/>
      <c r="HO4" s="110"/>
      <c r="HP4" s="110"/>
      <c r="HQ4" s="110"/>
      <c r="HR4" s="110"/>
      <c r="HS4" s="111"/>
      <c r="HT4" s="111"/>
      <c r="HU4" s="111"/>
      <c r="HV4" s="111"/>
      <c r="HW4" s="112"/>
      <c r="HX4" s="109"/>
      <c r="HY4" s="110"/>
      <c r="HZ4" s="110"/>
      <c r="IA4" s="110"/>
      <c r="IB4" s="110"/>
      <c r="IC4" s="110"/>
      <c r="ID4" s="110"/>
      <c r="IE4" s="110"/>
      <c r="IF4" s="110"/>
      <c r="IG4" s="110"/>
      <c r="IH4" s="110"/>
      <c r="II4" s="110"/>
      <c r="IJ4" s="110"/>
      <c r="IK4" s="110"/>
      <c r="IL4" s="110"/>
      <c r="IM4" s="110"/>
      <c r="IN4" s="110"/>
      <c r="IO4" s="110"/>
      <c r="IP4" s="111"/>
      <c r="IQ4" s="111"/>
      <c r="IR4" s="111"/>
      <c r="IS4" s="111"/>
      <c r="IT4" s="112"/>
      <c r="IU4" s="109"/>
      <c r="IV4" s="110"/>
      <c r="IW4" s="110"/>
      <c r="IX4" s="110"/>
      <c r="IY4" s="110"/>
      <c r="IZ4" s="110"/>
      <c r="JA4" s="110"/>
      <c r="JB4" s="110"/>
      <c r="JC4" s="110"/>
      <c r="JD4" s="110"/>
      <c r="JE4" s="110"/>
      <c r="JF4" s="110"/>
      <c r="JG4" s="110"/>
      <c r="JH4" s="110"/>
      <c r="JI4" s="110"/>
      <c r="JJ4" s="110"/>
      <c r="JK4" s="110"/>
      <c r="JL4" s="110"/>
      <c r="JM4" s="111"/>
      <c r="JN4" s="111"/>
      <c r="JO4" s="111"/>
      <c r="JP4" s="111"/>
      <c r="JQ4" s="112"/>
      <c r="JR4" s="109"/>
      <c r="JS4" s="110"/>
      <c r="JT4" s="110"/>
      <c r="JU4" s="110"/>
      <c r="JV4" s="110"/>
      <c r="JW4" s="110"/>
      <c r="JX4" s="110"/>
      <c r="JY4" s="110"/>
      <c r="JZ4" s="110"/>
      <c r="KA4" s="110"/>
      <c r="KB4" s="110"/>
      <c r="KC4" s="110"/>
      <c r="KD4" s="110"/>
      <c r="KE4" s="110"/>
      <c r="KF4" s="110"/>
      <c r="KG4" s="110"/>
      <c r="KH4" s="110"/>
      <c r="KI4" s="110"/>
      <c r="KJ4" s="111"/>
      <c r="KK4" s="111"/>
      <c r="KL4" s="111"/>
      <c r="KM4" s="111"/>
      <c r="KN4" s="112"/>
      <c r="KO4" s="109"/>
      <c r="KP4" s="110"/>
      <c r="KQ4" s="110"/>
      <c r="KR4" s="110"/>
      <c r="KS4" s="110"/>
      <c r="KT4" s="110"/>
      <c r="KU4" s="110"/>
      <c r="KV4" s="110"/>
      <c r="KW4" s="110"/>
      <c r="KX4" s="110"/>
      <c r="KY4" s="110"/>
      <c r="KZ4" s="110"/>
      <c r="LA4" s="110"/>
      <c r="LB4" s="110"/>
      <c r="LC4" s="110"/>
      <c r="LD4" s="110"/>
      <c r="LE4" s="110"/>
      <c r="LF4" s="110"/>
      <c r="LG4" s="111"/>
      <c r="LH4" s="111"/>
      <c r="LI4" s="111"/>
      <c r="LJ4" s="111"/>
      <c r="LK4" s="112"/>
      <c r="LL4" s="109"/>
      <c r="LM4" s="110"/>
      <c r="LN4" s="110"/>
      <c r="LO4" s="110"/>
      <c r="LP4" s="110"/>
      <c r="LQ4" s="110"/>
      <c r="LR4" s="110"/>
      <c r="LS4" s="110"/>
      <c r="LT4" s="110"/>
      <c r="LU4" s="110"/>
      <c r="LV4" s="110"/>
      <c r="LW4" s="110"/>
      <c r="LX4" s="110"/>
      <c r="LY4" s="110"/>
      <c r="LZ4" s="110"/>
      <c r="MA4" s="110"/>
      <c r="MB4" s="110"/>
      <c r="MC4" s="110"/>
      <c r="MD4" s="111"/>
      <c r="ME4" s="111"/>
      <c r="MF4" s="111"/>
      <c r="MG4" s="111"/>
      <c r="MH4" s="112"/>
      <c r="MI4" s="109"/>
      <c r="MJ4" s="110"/>
      <c r="MK4" s="110"/>
      <c r="ML4" s="110"/>
      <c r="MM4" s="110"/>
      <c r="MN4" s="110"/>
      <c r="MO4" s="110"/>
      <c r="MP4" s="110"/>
      <c r="MQ4" s="110"/>
      <c r="MR4" s="110"/>
      <c r="MS4" s="110"/>
      <c r="MT4" s="110"/>
      <c r="MU4" s="110"/>
      <c r="MV4" s="110"/>
      <c r="MW4" s="110"/>
      <c r="MX4" s="110"/>
      <c r="MY4" s="110"/>
      <c r="MZ4" s="110"/>
      <c r="NA4" s="111"/>
      <c r="NB4" s="111"/>
      <c r="NC4" s="111"/>
      <c r="ND4" s="111"/>
      <c r="NE4" s="112"/>
      <c r="NF4" s="109"/>
      <c r="NG4" s="110"/>
      <c r="NH4" s="110"/>
      <c r="NI4" s="110"/>
      <c r="NJ4" s="110"/>
      <c r="NK4" s="110"/>
      <c r="NL4" s="110"/>
      <c r="NM4" s="110"/>
      <c r="NN4" s="110"/>
      <c r="NO4" s="110"/>
      <c r="NP4" s="110"/>
      <c r="NQ4" s="110"/>
      <c r="NR4" s="110"/>
      <c r="NS4" s="110"/>
      <c r="NT4" s="110"/>
      <c r="NU4" s="110"/>
      <c r="NV4" s="110"/>
      <c r="NW4" s="110"/>
      <c r="NX4" s="111"/>
      <c r="NY4" s="111"/>
      <c r="NZ4" s="111"/>
      <c r="OA4" s="111"/>
      <c r="OB4" s="112"/>
      <c r="OC4" s="109"/>
      <c r="OD4" s="110"/>
      <c r="OE4" s="110"/>
      <c r="OF4" s="110"/>
      <c r="OG4" s="110"/>
      <c r="OH4" s="110"/>
      <c r="OI4" s="110"/>
      <c r="OJ4" s="110"/>
      <c r="OK4" s="110"/>
      <c r="OL4" s="110"/>
      <c r="OM4" s="110"/>
      <c r="ON4" s="110"/>
      <c r="OO4" s="110"/>
      <c r="OP4" s="110"/>
      <c r="OQ4" s="110"/>
      <c r="OR4" s="110"/>
      <c r="OS4" s="110"/>
      <c r="OT4" s="110"/>
      <c r="OU4" s="111"/>
      <c r="OV4" s="111"/>
      <c r="OW4" s="111"/>
      <c r="OX4" s="111"/>
      <c r="OY4" s="112"/>
      <c r="OZ4" s="109"/>
      <c r="PA4" s="110"/>
      <c r="PB4" s="110"/>
      <c r="PC4" s="110"/>
      <c r="PD4" s="110"/>
      <c r="PE4" s="110"/>
      <c r="PF4" s="110"/>
      <c r="PG4" s="110"/>
      <c r="PH4" s="110"/>
      <c r="PI4" s="110"/>
      <c r="PJ4" s="110"/>
      <c r="PK4" s="110"/>
      <c r="PL4" s="110"/>
      <c r="PM4" s="110"/>
      <c r="PN4" s="110"/>
      <c r="PO4" s="110"/>
      <c r="PP4" s="110"/>
      <c r="PQ4" s="110"/>
      <c r="PR4" s="111"/>
      <c r="PS4" s="111"/>
      <c r="PT4" s="111"/>
      <c r="PU4" s="111"/>
      <c r="PV4" s="112"/>
      <c r="PW4" s="109"/>
      <c r="PX4" s="110"/>
      <c r="PY4" s="110"/>
      <c r="PZ4" s="110"/>
      <c r="QA4" s="110"/>
      <c r="QB4" s="110"/>
      <c r="QC4" s="110"/>
      <c r="QD4" s="110"/>
      <c r="QE4" s="110"/>
      <c r="QF4" s="110"/>
      <c r="QG4" s="110"/>
      <c r="QH4" s="110"/>
      <c r="QI4" s="110"/>
      <c r="QJ4" s="110"/>
      <c r="QK4" s="110"/>
      <c r="QL4" s="110"/>
      <c r="QM4" s="110"/>
      <c r="QN4" s="110"/>
      <c r="QO4" s="111"/>
      <c r="QP4" s="111"/>
      <c r="QQ4" s="111"/>
      <c r="QR4" s="111"/>
      <c r="QS4" s="112"/>
    </row>
    <row r="5" spans="1:533" ht="45" customHeight="1" x14ac:dyDescent="0.5">
      <c r="A5" s="44" t="str">
        <f t="shared" ref="A5:C5" si="22">A4</f>
        <v>The Warriors</v>
      </c>
      <c r="B5" s="44">
        <f t="shared" si="22"/>
        <v>3</v>
      </c>
      <c r="C5" s="44">
        <f t="shared" si="22"/>
        <v>7</v>
      </c>
      <c r="D5" s="86" t="s">
        <v>45</v>
      </c>
      <c r="E5" s="99">
        <v>11</v>
      </c>
      <c r="F5" s="99">
        <v>16</v>
      </c>
      <c r="G5" s="99">
        <v>0</v>
      </c>
      <c r="H5" s="99">
        <v>1</v>
      </c>
      <c r="I5" s="99">
        <f t="shared" si="0"/>
        <v>11</v>
      </c>
      <c r="J5" s="99">
        <f t="shared" si="1"/>
        <v>17</v>
      </c>
      <c r="K5" s="99">
        <v>5</v>
      </c>
      <c r="L5" s="99">
        <v>6</v>
      </c>
      <c r="M5" s="99">
        <v>1</v>
      </c>
      <c r="N5" s="99">
        <v>4</v>
      </c>
      <c r="O5" s="99">
        <f t="shared" si="2"/>
        <v>27</v>
      </c>
      <c r="P5" s="99">
        <f t="shared" si="3"/>
        <v>5</v>
      </c>
      <c r="Q5" s="99">
        <v>4</v>
      </c>
      <c r="R5" s="99">
        <v>0</v>
      </c>
      <c r="S5" s="99">
        <v>0</v>
      </c>
      <c r="T5" s="99">
        <v>4</v>
      </c>
      <c r="U5" s="99">
        <v>3</v>
      </c>
      <c r="V5" s="100">
        <f t="shared" si="4"/>
        <v>0.6470588235294118</v>
      </c>
      <c r="W5" s="100">
        <f t="shared" si="5"/>
        <v>0.68737270875763745</v>
      </c>
      <c r="X5" s="100">
        <f t="shared" si="6"/>
        <v>0.83333333333333337</v>
      </c>
      <c r="Y5" s="100">
        <f t="shared" si="7"/>
        <v>0.6875</v>
      </c>
      <c r="Z5" s="100">
        <f t="shared" si="8"/>
        <v>0</v>
      </c>
      <c r="AA5" s="101">
        <f t="shared" si="9"/>
        <v>18.600000000000001</v>
      </c>
      <c r="AB5" s="46" t="str">
        <f t="shared" si="21"/>
        <v>FINAL</v>
      </c>
      <c r="AC5" s="110"/>
      <c r="AD5" s="110"/>
      <c r="AE5" s="110"/>
      <c r="AF5" s="110"/>
      <c r="AG5" s="110"/>
      <c r="AH5" s="110"/>
      <c r="AI5" s="111"/>
      <c r="AL5" s="86" t="s">
        <v>63</v>
      </c>
      <c r="AM5" s="169">
        <v>4</v>
      </c>
      <c r="AN5" s="169">
        <v>9</v>
      </c>
      <c r="AO5" s="169">
        <v>1</v>
      </c>
      <c r="AP5" s="169">
        <v>4</v>
      </c>
      <c r="AQ5" s="169">
        <f t="shared" si="10"/>
        <v>5</v>
      </c>
      <c r="AR5" s="169">
        <f t="shared" si="11"/>
        <v>13</v>
      </c>
      <c r="AS5" s="169">
        <v>0</v>
      </c>
      <c r="AT5" s="169">
        <v>0</v>
      </c>
      <c r="AU5" s="169">
        <v>6</v>
      </c>
      <c r="AV5" s="169">
        <v>12</v>
      </c>
      <c r="AW5" s="169">
        <f t="shared" si="12"/>
        <v>11</v>
      </c>
      <c r="AX5" s="169">
        <f t="shared" si="13"/>
        <v>18</v>
      </c>
      <c r="AY5" s="169">
        <v>4</v>
      </c>
      <c r="AZ5" s="169">
        <v>1</v>
      </c>
      <c r="BA5" s="169">
        <v>1</v>
      </c>
      <c r="BB5" s="169">
        <v>3</v>
      </c>
      <c r="BC5" s="169">
        <v>1</v>
      </c>
      <c r="BD5" s="170">
        <f t="shared" si="14"/>
        <v>0.38461538461538464</v>
      </c>
      <c r="BE5" s="170">
        <f t="shared" si="15"/>
        <v>0.42307692307692307</v>
      </c>
      <c r="BF5" s="170">
        <f t="shared" si="16"/>
        <v>0</v>
      </c>
      <c r="BG5" s="170">
        <f t="shared" si="17"/>
        <v>0.44444444444444442</v>
      </c>
      <c r="BH5" s="170">
        <f t="shared" si="18"/>
        <v>0.25</v>
      </c>
      <c r="BI5" s="171">
        <f t="shared" si="19"/>
        <v>12.799999999999999</v>
      </c>
      <c r="BJ5" s="46" t="e">
        <f>BJ4</f>
        <v>#REF!</v>
      </c>
      <c r="BK5" s="110"/>
      <c r="BL5" s="110"/>
      <c r="BM5" s="110"/>
      <c r="BN5" s="111"/>
      <c r="BO5" s="111"/>
      <c r="BP5" s="111"/>
      <c r="BQ5" s="111"/>
      <c r="BR5" s="112"/>
      <c r="BS5" s="109"/>
      <c r="BT5" s="110"/>
      <c r="BU5" s="110"/>
      <c r="BV5" s="110"/>
      <c r="BW5" s="110"/>
      <c r="BX5" s="110"/>
      <c r="BY5" s="110"/>
      <c r="BZ5" s="110"/>
      <c r="CA5" s="110"/>
      <c r="CB5" s="110"/>
      <c r="CC5" s="110"/>
      <c r="CD5" s="110"/>
      <c r="CE5" s="110"/>
      <c r="CF5" s="110"/>
      <c r="CG5" s="110"/>
      <c r="CH5" s="110"/>
      <c r="CI5" s="110"/>
      <c r="CJ5" s="110"/>
      <c r="CK5" s="111"/>
      <c r="CL5" s="111"/>
      <c r="CM5" s="111"/>
      <c r="CN5" s="111"/>
      <c r="CO5" s="112"/>
      <c r="CP5" s="109"/>
      <c r="CQ5" s="110"/>
      <c r="CR5" s="110"/>
      <c r="CS5" s="110"/>
      <c r="CT5" s="110"/>
      <c r="CU5" s="110"/>
      <c r="CV5" s="110"/>
      <c r="CW5" s="110"/>
      <c r="CX5" s="110"/>
      <c r="CY5" s="110"/>
      <c r="CZ5" s="110"/>
      <c r="DA5" s="110"/>
      <c r="DB5" s="110"/>
      <c r="DC5" s="110"/>
      <c r="DD5" s="110"/>
      <c r="DE5" s="110"/>
      <c r="DF5" s="110"/>
      <c r="DG5" s="110"/>
      <c r="DH5" s="111"/>
      <c r="DI5" s="111"/>
      <c r="DJ5" s="111"/>
      <c r="DK5" s="111"/>
      <c r="DL5" s="112"/>
      <c r="DM5" s="109"/>
      <c r="DN5" s="110"/>
      <c r="DO5" s="110"/>
      <c r="DP5" s="110"/>
      <c r="DQ5" s="110"/>
      <c r="DR5" s="110"/>
      <c r="DS5" s="110"/>
      <c r="DT5" s="110"/>
      <c r="DU5" s="110"/>
      <c r="DV5" s="110"/>
      <c r="DW5" s="110"/>
      <c r="DX5" s="110"/>
      <c r="DY5" s="110"/>
      <c r="DZ5" s="110"/>
      <c r="EA5" s="110"/>
      <c r="EB5" s="110"/>
      <c r="EC5" s="110"/>
      <c r="ED5" s="110"/>
      <c r="EE5" s="111"/>
      <c r="EF5" s="111"/>
      <c r="EG5" s="111"/>
      <c r="EH5" s="111"/>
      <c r="EI5" s="112"/>
      <c r="EJ5" s="109"/>
      <c r="EK5" s="110"/>
      <c r="EL5" s="110"/>
      <c r="EM5" s="110"/>
      <c r="EN5" s="110"/>
      <c r="EO5" s="110"/>
      <c r="EP5" s="110"/>
      <c r="EQ5" s="110"/>
      <c r="ER5" s="110"/>
      <c r="ES5" s="110"/>
      <c r="ET5" s="110"/>
      <c r="EU5" s="110"/>
      <c r="EV5" s="110"/>
      <c r="EW5" s="110"/>
      <c r="EX5" s="110"/>
      <c r="EY5" s="110"/>
      <c r="EZ5" s="110"/>
      <c r="FA5" s="110"/>
      <c r="FB5" s="111"/>
      <c r="FC5" s="111"/>
      <c r="FD5" s="111"/>
      <c r="FE5" s="111"/>
      <c r="FF5" s="112"/>
      <c r="FG5" s="109"/>
      <c r="FH5" s="110"/>
      <c r="FI5" s="110"/>
      <c r="FJ5" s="110"/>
      <c r="FK5" s="110"/>
      <c r="FL5" s="110"/>
      <c r="FM5" s="110"/>
      <c r="FN5" s="110"/>
      <c r="FO5" s="110"/>
      <c r="FP5" s="110"/>
      <c r="FQ5" s="110"/>
      <c r="FR5" s="110"/>
      <c r="FS5" s="110"/>
      <c r="FT5" s="110"/>
      <c r="FU5" s="110"/>
      <c r="FV5" s="110"/>
      <c r="FW5" s="110"/>
      <c r="FX5" s="110"/>
      <c r="FY5" s="111"/>
      <c r="FZ5" s="111"/>
      <c r="GA5" s="111"/>
      <c r="GB5" s="111"/>
      <c r="GC5" s="112"/>
      <c r="GD5" s="109"/>
      <c r="GE5" s="110"/>
      <c r="GF5" s="110"/>
      <c r="GG5" s="110"/>
      <c r="GH5" s="110"/>
      <c r="GI5" s="110"/>
      <c r="GJ5" s="110"/>
      <c r="GK5" s="110"/>
      <c r="GL5" s="110"/>
      <c r="GM5" s="110"/>
      <c r="GN5" s="110"/>
      <c r="GO5" s="110"/>
      <c r="GP5" s="110"/>
      <c r="GQ5" s="110"/>
      <c r="GR5" s="110"/>
      <c r="GS5" s="110"/>
      <c r="GT5" s="110"/>
      <c r="GU5" s="110"/>
      <c r="GV5" s="111"/>
      <c r="GW5" s="111"/>
      <c r="GX5" s="111"/>
      <c r="GY5" s="111"/>
      <c r="GZ5" s="112"/>
      <c r="HA5" s="109"/>
      <c r="HB5" s="110"/>
      <c r="HC5" s="110"/>
      <c r="HD5" s="110"/>
      <c r="HE5" s="110"/>
      <c r="HF5" s="110"/>
      <c r="HG5" s="110"/>
      <c r="HH5" s="110"/>
      <c r="HI5" s="110"/>
      <c r="HJ5" s="110"/>
      <c r="HK5" s="110"/>
      <c r="HL5" s="110"/>
      <c r="HM5" s="110"/>
      <c r="HN5" s="110"/>
      <c r="HO5" s="110"/>
      <c r="HP5" s="110"/>
      <c r="HQ5" s="110"/>
      <c r="HR5" s="110"/>
      <c r="HS5" s="111"/>
      <c r="HT5" s="111"/>
      <c r="HU5" s="111"/>
      <c r="HV5" s="111"/>
      <c r="HW5" s="112"/>
      <c r="HX5" s="109"/>
      <c r="HY5" s="110"/>
      <c r="HZ5" s="110"/>
      <c r="IA5" s="110"/>
      <c r="IB5" s="110"/>
      <c r="IC5" s="110"/>
      <c r="ID5" s="110"/>
      <c r="IE5" s="110"/>
      <c r="IF5" s="110"/>
      <c r="IG5" s="110"/>
      <c r="IH5" s="110"/>
      <c r="II5" s="110"/>
      <c r="IJ5" s="110"/>
      <c r="IK5" s="110"/>
      <c r="IL5" s="110"/>
      <c r="IM5" s="110"/>
      <c r="IN5" s="110"/>
      <c r="IO5" s="110"/>
      <c r="IP5" s="111"/>
      <c r="IQ5" s="111"/>
      <c r="IR5" s="111"/>
      <c r="IS5" s="111"/>
      <c r="IT5" s="112"/>
      <c r="IU5" s="109"/>
      <c r="IV5" s="110"/>
      <c r="IW5" s="110"/>
      <c r="IX5" s="110"/>
      <c r="IY5" s="110"/>
      <c r="IZ5" s="110"/>
      <c r="JA5" s="110"/>
      <c r="JB5" s="110"/>
      <c r="JC5" s="110"/>
      <c r="JD5" s="110"/>
      <c r="JE5" s="110"/>
      <c r="JF5" s="110"/>
      <c r="JG5" s="110"/>
      <c r="JH5" s="110"/>
      <c r="JI5" s="110"/>
      <c r="JJ5" s="110"/>
      <c r="JK5" s="110"/>
      <c r="JL5" s="110"/>
      <c r="JM5" s="111"/>
      <c r="JN5" s="111"/>
      <c r="JO5" s="111"/>
      <c r="JP5" s="111"/>
      <c r="JQ5" s="112"/>
      <c r="JR5" s="109"/>
      <c r="JS5" s="110"/>
      <c r="JT5" s="110"/>
      <c r="JU5" s="110"/>
      <c r="JV5" s="110"/>
      <c r="JW5" s="110"/>
      <c r="JX5" s="110"/>
      <c r="JY5" s="110"/>
      <c r="JZ5" s="110"/>
      <c r="KA5" s="110"/>
      <c r="KB5" s="110"/>
      <c r="KC5" s="110"/>
      <c r="KD5" s="110"/>
      <c r="KE5" s="110"/>
      <c r="KF5" s="110"/>
      <c r="KG5" s="110"/>
      <c r="KH5" s="110"/>
      <c r="KI5" s="110"/>
      <c r="KJ5" s="111"/>
      <c r="KK5" s="111"/>
      <c r="KL5" s="111"/>
      <c r="KM5" s="111"/>
      <c r="KN5" s="112"/>
      <c r="KO5" s="109"/>
      <c r="KP5" s="110"/>
      <c r="KQ5" s="110"/>
      <c r="KR5" s="110"/>
      <c r="KS5" s="110"/>
      <c r="KT5" s="110"/>
      <c r="KU5" s="110"/>
      <c r="KV5" s="110"/>
      <c r="KW5" s="110"/>
      <c r="KX5" s="110"/>
      <c r="KY5" s="110"/>
      <c r="KZ5" s="110"/>
      <c r="LA5" s="110"/>
      <c r="LB5" s="110"/>
      <c r="LC5" s="110"/>
      <c r="LD5" s="110"/>
      <c r="LE5" s="110"/>
      <c r="LF5" s="110"/>
      <c r="LG5" s="111"/>
      <c r="LH5" s="111"/>
      <c r="LI5" s="111"/>
      <c r="LJ5" s="111"/>
      <c r="LK5" s="112"/>
      <c r="LL5" s="109"/>
      <c r="LM5" s="110"/>
      <c r="LN5" s="110"/>
      <c r="LO5" s="110"/>
      <c r="LP5" s="110"/>
      <c r="LQ5" s="110"/>
      <c r="LR5" s="110"/>
      <c r="LS5" s="110"/>
      <c r="LT5" s="110"/>
      <c r="LU5" s="110"/>
      <c r="LV5" s="110"/>
      <c r="LW5" s="110"/>
      <c r="LX5" s="110"/>
      <c r="LY5" s="110"/>
      <c r="LZ5" s="110"/>
      <c r="MA5" s="110"/>
      <c r="MB5" s="110"/>
      <c r="MC5" s="110"/>
      <c r="MD5" s="111"/>
      <c r="ME5" s="111"/>
      <c r="MF5" s="111"/>
      <c r="MG5" s="111"/>
      <c r="MH5" s="112"/>
      <c r="MI5" s="109"/>
      <c r="MJ5" s="110"/>
      <c r="MK5" s="110"/>
      <c r="ML5" s="110"/>
      <c r="MM5" s="110"/>
      <c r="MN5" s="110"/>
      <c r="MO5" s="110"/>
      <c r="MP5" s="110"/>
      <c r="MQ5" s="110"/>
      <c r="MR5" s="110"/>
      <c r="MS5" s="110"/>
      <c r="MT5" s="110"/>
      <c r="MU5" s="110"/>
      <c r="MV5" s="110"/>
      <c r="MW5" s="110"/>
      <c r="MX5" s="110"/>
      <c r="MY5" s="110"/>
      <c r="MZ5" s="110"/>
      <c r="NA5" s="111"/>
      <c r="NB5" s="111"/>
      <c r="NC5" s="111"/>
      <c r="ND5" s="111"/>
      <c r="NE5" s="112"/>
      <c r="NF5" s="109"/>
      <c r="NG5" s="110"/>
      <c r="NH5" s="110"/>
      <c r="NI5" s="110"/>
      <c r="NJ5" s="110"/>
      <c r="NK5" s="110"/>
      <c r="NL5" s="110"/>
      <c r="NM5" s="110"/>
      <c r="NN5" s="110"/>
      <c r="NO5" s="110"/>
      <c r="NP5" s="110"/>
      <c r="NQ5" s="110"/>
      <c r="NR5" s="110"/>
      <c r="NS5" s="110"/>
      <c r="NT5" s="110"/>
      <c r="NU5" s="110"/>
      <c r="NV5" s="110"/>
      <c r="NW5" s="110"/>
      <c r="NX5" s="111"/>
      <c r="NY5" s="111"/>
      <c r="NZ5" s="111"/>
      <c r="OA5" s="111"/>
      <c r="OB5" s="112"/>
      <c r="OC5" s="109"/>
      <c r="OD5" s="110"/>
      <c r="OE5" s="110"/>
      <c r="OF5" s="110"/>
      <c r="OG5" s="110"/>
      <c r="OH5" s="110"/>
      <c r="OI5" s="110"/>
      <c r="OJ5" s="110"/>
      <c r="OK5" s="110"/>
      <c r="OL5" s="110"/>
      <c r="OM5" s="110"/>
      <c r="ON5" s="110"/>
      <c r="OO5" s="110"/>
      <c r="OP5" s="110"/>
      <c r="OQ5" s="110"/>
      <c r="OR5" s="110"/>
      <c r="OS5" s="110"/>
      <c r="OT5" s="110"/>
      <c r="OU5" s="111"/>
      <c r="OV5" s="111"/>
      <c r="OW5" s="111"/>
      <c r="OX5" s="111"/>
      <c r="OY5" s="112"/>
      <c r="OZ5" s="109"/>
      <c r="PA5" s="110"/>
      <c r="PB5" s="110"/>
      <c r="PC5" s="110"/>
      <c r="PD5" s="110"/>
      <c r="PE5" s="110"/>
      <c r="PF5" s="110"/>
      <c r="PG5" s="110"/>
      <c r="PH5" s="110"/>
      <c r="PI5" s="110"/>
      <c r="PJ5" s="110"/>
      <c r="PK5" s="110"/>
      <c r="PL5" s="110"/>
      <c r="PM5" s="110"/>
      <c r="PN5" s="110"/>
      <c r="PO5" s="110"/>
      <c r="PP5" s="110"/>
      <c r="PQ5" s="110"/>
      <c r="PR5" s="111"/>
      <c r="PS5" s="111"/>
      <c r="PT5" s="111"/>
      <c r="PU5" s="111"/>
      <c r="PV5" s="112"/>
      <c r="PW5" s="109"/>
      <c r="PX5" s="110"/>
      <c r="PY5" s="110"/>
      <c r="PZ5" s="110"/>
      <c r="QA5" s="110"/>
      <c r="QB5" s="110"/>
      <c r="QC5" s="110"/>
      <c r="QD5" s="110"/>
      <c r="QE5" s="110"/>
      <c r="QF5" s="110"/>
      <c r="QG5" s="110"/>
      <c r="QH5" s="110"/>
      <c r="QI5" s="110"/>
      <c r="QJ5" s="110"/>
      <c r="QK5" s="110"/>
      <c r="QL5" s="110"/>
      <c r="QM5" s="110"/>
      <c r="QN5" s="110"/>
      <c r="QO5" s="111"/>
      <c r="QP5" s="111"/>
      <c r="QQ5" s="111"/>
      <c r="QR5" s="111"/>
      <c r="QS5" s="112"/>
    </row>
    <row r="6" spans="1:533" ht="45" customHeight="1" x14ac:dyDescent="0.55000000000000004">
      <c r="A6" s="44" t="str">
        <f t="shared" ref="A6:C6" si="23">A5</f>
        <v>The Warriors</v>
      </c>
      <c r="B6" s="44">
        <f t="shared" si="23"/>
        <v>3</v>
      </c>
      <c r="C6" s="44">
        <f t="shared" si="23"/>
        <v>7</v>
      </c>
      <c r="D6" s="86" t="s">
        <v>41</v>
      </c>
      <c r="E6" s="163">
        <v>0</v>
      </c>
      <c r="F6" s="163">
        <v>2</v>
      </c>
      <c r="G6" s="163">
        <v>2</v>
      </c>
      <c r="H6" s="163">
        <v>3</v>
      </c>
      <c r="I6" s="163">
        <f t="shared" si="0"/>
        <v>2</v>
      </c>
      <c r="J6" s="163">
        <f t="shared" si="1"/>
        <v>5</v>
      </c>
      <c r="K6" s="163">
        <v>0</v>
      </c>
      <c r="L6" s="163">
        <v>0</v>
      </c>
      <c r="M6" s="163">
        <v>1</v>
      </c>
      <c r="N6" s="163">
        <v>1</v>
      </c>
      <c r="O6" s="163">
        <f t="shared" si="2"/>
        <v>6</v>
      </c>
      <c r="P6" s="163">
        <f t="shared" si="3"/>
        <v>2</v>
      </c>
      <c r="Q6" s="163">
        <v>2</v>
      </c>
      <c r="R6" s="163">
        <v>0</v>
      </c>
      <c r="S6" s="163">
        <v>0</v>
      </c>
      <c r="T6" s="163">
        <v>0</v>
      </c>
      <c r="U6" s="163">
        <v>0</v>
      </c>
      <c r="V6" s="164">
        <f t="shared" si="4"/>
        <v>0.4</v>
      </c>
      <c r="W6" s="164">
        <f t="shared" si="5"/>
        <v>0.6</v>
      </c>
      <c r="X6" s="164">
        <f t="shared" si="6"/>
        <v>0</v>
      </c>
      <c r="Y6" s="164">
        <f t="shared" si="7"/>
        <v>0</v>
      </c>
      <c r="Z6" s="164">
        <f t="shared" si="8"/>
        <v>0.66666666666666663</v>
      </c>
      <c r="AA6" s="165">
        <f t="shared" si="9"/>
        <v>5.6999999999999993</v>
      </c>
      <c r="AB6" s="46" t="str">
        <f t="shared" si="21"/>
        <v>FINAL</v>
      </c>
      <c r="AC6" s="110"/>
      <c r="AD6" s="110"/>
      <c r="AE6" s="110"/>
      <c r="AF6" s="110"/>
      <c r="AG6" s="110"/>
      <c r="AH6" s="110"/>
      <c r="AL6" s="158" t="s">
        <v>66</v>
      </c>
      <c r="AM6" s="83"/>
      <c r="AN6" s="83"/>
      <c r="AO6" s="83"/>
      <c r="AP6" s="83"/>
      <c r="AQ6" s="83"/>
      <c r="AR6" s="83"/>
      <c r="AS6" s="83"/>
      <c r="AT6" s="83"/>
      <c r="AU6" s="83"/>
      <c r="AV6" s="83"/>
      <c r="AW6" s="83"/>
      <c r="AX6" s="83"/>
      <c r="AY6" s="83"/>
      <c r="AZ6" s="83"/>
      <c r="BA6" s="83"/>
      <c r="BB6" s="83"/>
      <c r="BC6" s="83"/>
      <c r="BD6" s="83"/>
      <c r="BE6" s="83"/>
      <c r="BF6" s="83"/>
      <c r="BG6" s="83"/>
      <c r="BH6" s="83"/>
      <c r="BI6" s="83"/>
      <c r="BJ6" s="119"/>
      <c r="BK6" s="110"/>
      <c r="BL6" s="110"/>
      <c r="BM6" s="110"/>
      <c r="BN6" s="111"/>
      <c r="BO6" s="111"/>
      <c r="BP6" s="111"/>
      <c r="BQ6" s="111"/>
      <c r="BR6" s="112"/>
      <c r="BS6" s="109"/>
      <c r="BT6" s="110"/>
      <c r="BU6" s="110"/>
      <c r="BV6" s="110"/>
      <c r="BW6" s="110"/>
      <c r="BX6" s="110"/>
      <c r="BY6" s="110"/>
      <c r="BZ6" s="110"/>
      <c r="CA6" s="110"/>
      <c r="CB6" s="110"/>
      <c r="CC6" s="110"/>
      <c r="CD6" s="110"/>
      <c r="CE6" s="110"/>
      <c r="CF6" s="110"/>
      <c r="CG6" s="110"/>
      <c r="CH6" s="110"/>
      <c r="CI6" s="110"/>
      <c r="CJ6" s="110"/>
      <c r="CK6" s="111"/>
      <c r="CL6" s="111"/>
      <c r="CM6" s="111"/>
      <c r="CN6" s="111"/>
      <c r="CO6" s="112"/>
      <c r="CP6" s="109"/>
      <c r="CQ6" s="110"/>
      <c r="CR6" s="110"/>
      <c r="CS6" s="110"/>
      <c r="CT6" s="110"/>
      <c r="CU6" s="110"/>
      <c r="CV6" s="110"/>
      <c r="CW6" s="110"/>
      <c r="CX6" s="110"/>
      <c r="CY6" s="110"/>
      <c r="CZ6" s="110"/>
      <c r="DA6" s="110"/>
      <c r="DB6" s="110"/>
      <c r="DC6" s="110"/>
      <c r="DD6" s="110"/>
      <c r="DE6" s="110"/>
      <c r="DF6" s="110"/>
      <c r="DG6" s="110"/>
      <c r="DH6" s="111"/>
      <c r="DI6" s="111"/>
      <c r="DJ6" s="111"/>
      <c r="DK6" s="111"/>
      <c r="DL6" s="112"/>
      <c r="DM6" s="109"/>
      <c r="DN6" s="110"/>
      <c r="DO6" s="110"/>
      <c r="DP6" s="110"/>
      <c r="DQ6" s="110"/>
      <c r="DR6" s="110"/>
      <c r="DS6" s="110"/>
      <c r="DT6" s="110"/>
      <c r="DU6" s="110"/>
      <c r="DV6" s="110"/>
      <c r="DW6" s="110"/>
      <c r="DX6" s="110"/>
      <c r="DY6" s="110"/>
      <c r="DZ6" s="110"/>
      <c r="EA6" s="110"/>
      <c r="EB6" s="110"/>
      <c r="EC6" s="110"/>
      <c r="ED6" s="110"/>
      <c r="EE6" s="111"/>
      <c r="EF6" s="111"/>
      <c r="EG6" s="111"/>
      <c r="EH6" s="111"/>
      <c r="EI6" s="112"/>
      <c r="EJ6" s="109"/>
      <c r="EK6" s="110"/>
      <c r="EL6" s="110"/>
      <c r="EM6" s="110"/>
      <c r="EN6" s="110"/>
      <c r="EO6" s="110"/>
      <c r="EP6" s="110"/>
      <c r="EQ6" s="110"/>
      <c r="ER6" s="110"/>
      <c r="ES6" s="110"/>
      <c r="ET6" s="110"/>
      <c r="EU6" s="110"/>
      <c r="EV6" s="110"/>
      <c r="EW6" s="110"/>
      <c r="EX6" s="110"/>
      <c r="EY6" s="110"/>
      <c r="EZ6" s="110"/>
      <c r="FA6" s="110"/>
      <c r="FB6" s="111"/>
      <c r="FC6" s="111"/>
      <c r="FD6" s="111"/>
      <c r="FE6" s="111"/>
      <c r="FF6" s="112"/>
      <c r="FG6" s="109"/>
      <c r="FH6" s="110"/>
      <c r="FI6" s="110"/>
      <c r="FJ6" s="110"/>
      <c r="FK6" s="110"/>
      <c r="FL6" s="110"/>
      <c r="FM6" s="110"/>
      <c r="FN6" s="110"/>
      <c r="FO6" s="110"/>
      <c r="FP6" s="110"/>
      <c r="FQ6" s="110"/>
      <c r="FR6" s="110"/>
      <c r="FS6" s="110"/>
      <c r="FT6" s="110"/>
      <c r="FU6" s="110"/>
      <c r="FV6" s="110"/>
      <c r="FW6" s="110"/>
      <c r="FX6" s="110"/>
      <c r="FY6" s="111"/>
      <c r="FZ6" s="111"/>
      <c r="GA6" s="111"/>
      <c r="GB6" s="111"/>
      <c r="GC6" s="112"/>
      <c r="GD6" s="109"/>
      <c r="GE6" s="110"/>
      <c r="GF6" s="110"/>
      <c r="GG6" s="110"/>
      <c r="GH6" s="110"/>
      <c r="GI6" s="110"/>
      <c r="GJ6" s="110"/>
      <c r="GK6" s="110"/>
      <c r="GL6" s="110"/>
      <c r="GM6" s="110"/>
      <c r="GN6" s="110"/>
      <c r="GO6" s="110"/>
      <c r="GP6" s="110"/>
      <c r="GQ6" s="110"/>
      <c r="GR6" s="110"/>
      <c r="GS6" s="110"/>
      <c r="GT6" s="110"/>
      <c r="GU6" s="110"/>
      <c r="GV6" s="111"/>
      <c r="GW6" s="111"/>
      <c r="GX6" s="111"/>
      <c r="GY6" s="111"/>
      <c r="GZ6" s="112"/>
      <c r="HA6" s="109"/>
      <c r="HB6" s="110"/>
      <c r="HC6" s="110"/>
      <c r="HD6" s="110"/>
      <c r="HE6" s="110"/>
      <c r="HF6" s="110"/>
      <c r="HG6" s="110"/>
      <c r="HH6" s="110"/>
      <c r="HI6" s="110"/>
      <c r="HJ6" s="110"/>
      <c r="HK6" s="110"/>
      <c r="HL6" s="110"/>
      <c r="HM6" s="110"/>
      <c r="HN6" s="110"/>
      <c r="HO6" s="110"/>
      <c r="HP6" s="110"/>
      <c r="HQ6" s="110"/>
      <c r="HR6" s="110"/>
      <c r="HS6" s="111"/>
      <c r="HT6" s="111"/>
      <c r="HU6" s="111"/>
      <c r="HV6" s="111"/>
      <c r="HW6" s="112"/>
      <c r="HX6" s="109"/>
      <c r="HY6" s="110"/>
      <c r="HZ6" s="110"/>
      <c r="IA6" s="110"/>
      <c r="IB6" s="110"/>
      <c r="IC6" s="110"/>
      <c r="ID6" s="110"/>
      <c r="IE6" s="110"/>
      <c r="IF6" s="110"/>
      <c r="IG6" s="110"/>
      <c r="IH6" s="110"/>
      <c r="II6" s="110"/>
      <c r="IJ6" s="110"/>
      <c r="IK6" s="110"/>
      <c r="IL6" s="110"/>
      <c r="IM6" s="110"/>
      <c r="IN6" s="110"/>
      <c r="IO6" s="110"/>
      <c r="IP6" s="111"/>
      <c r="IQ6" s="111"/>
      <c r="IR6" s="111"/>
      <c r="IS6" s="111"/>
      <c r="IT6" s="112"/>
      <c r="IU6" s="109"/>
      <c r="IV6" s="110"/>
      <c r="IW6" s="110"/>
      <c r="IX6" s="110"/>
      <c r="IY6" s="110"/>
      <c r="IZ6" s="110"/>
      <c r="JA6" s="110"/>
      <c r="JB6" s="110"/>
      <c r="JC6" s="110"/>
      <c r="JD6" s="110"/>
      <c r="JE6" s="110"/>
      <c r="JF6" s="110"/>
      <c r="JG6" s="110"/>
      <c r="JH6" s="110"/>
      <c r="JI6" s="110"/>
      <c r="JJ6" s="110"/>
      <c r="JK6" s="110"/>
      <c r="JL6" s="110"/>
      <c r="JM6" s="111"/>
      <c r="JN6" s="111"/>
      <c r="JO6" s="111"/>
      <c r="JP6" s="111"/>
      <c r="JQ6" s="112"/>
      <c r="JR6" s="109"/>
      <c r="JS6" s="110"/>
      <c r="JT6" s="110"/>
      <c r="JU6" s="110"/>
      <c r="JV6" s="110"/>
      <c r="JW6" s="110"/>
      <c r="JX6" s="110"/>
      <c r="JY6" s="110"/>
      <c r="JZ6" s="110"/>
      <c r="KA6" s="110"/>
      <c r="KB6" s="110"/>
      <c r="KC6" s="110"/>
      <c r="KD6" s="110"/>
      <c r="KE6" s="110"/>
      <c r="KF6" s="110"/>
      <c r="KG6" s="110"/>
      <c r="KH6" s="110"/>
      <c r="KI6" s="110"/>
      <c r="KJ6" s="111"/>
      <c r="KK6" s="111"/>
      <c r="KL6" s="111"/>
      <c r="KM6" s="111"/>
      <c r="KN6" s="112"/>
      <c r="KO6" s="109"/>
      <c r="KP6" s="110"/>
      <c r="KQ6" s="110"/>
      <c r="KR6" s="110"/>
      <c r="KS6" s="110"/>
      <c r="KT6" s="110"/>
      <c r="KU6" s="110"/>
      <c r="KV6" s="110"/>
      <c r="KW6" s="110"/>
      <c r="KX6" s="110"/>
      <c r="KY6" s="110"/>
      <c r="KZ6" s="110"/>
      <c r="LA6" s="110"/>
      <c r="LB6" s="110"/>
      <c r="LC6" s="110"/>
      <c r="LD6" s="110"/>
      <c r="LE6" s="110"/>
      <c r="LF6" s="110"/>
      <c r="LG6" s="111"/>
      <c r="LH6" s="111"/>
      <c r="LI6" s="111"/>
      <c r="LJ6" s="111"/>
      <c r="LK6" s="112"/>
      <c r="LL6" s="109"/>
      <c r="LM6" s="110"/>
      <c r="LN6" s="110"/>
      <c r="LO6" s="110"/>
      <c r="LP6" s="110"/>
      <c r="LQ6" s="110"/>
      <c r="LR6" s="110"/>
      <c r="LS6" s="110"/>
      <c r="LT6" s="110"/>
      <c r="LU6" s="110"/>
      <c r="LV6" s="110"/>
      <c r="LW6" s="110"/>
      <c r="LX6" s="110"/>
      <c r="LY6" s="110"/>
      <c r="LZ6" s="110"/>
      <c r="MA6" s="110"/>
      <c r="MB6" s="110"/>
      <c r="MC6" s="110"/>
      <c r="MD6" s="111"/>
      <c r="ME6" s="111"/>
      <c r="MF6" s="111"/>
      <c r="MG6" s="111"/>
      <c r="MH6" s="112"/>
      <c r="MI6" s="109"/>
      <c r="MJ6" s="110"/>
      <c r="MK6" s="110"/>
      <c r="ML6" s="110"/>
      <c r="MM6" s="110"/>
      <c r="MN6" s="110"/>
      <c r="MO6" s="110"/>
      <c r="MP6" s="110"/>
      <c r="MQ6" s="110"/>
      <c r="MR6" s="110"/>
      <c r="MS6" s="110"/>
      <c r="MT6" s="110"/>
      <c r="MU6" s="110"/>
      <c r="MV6" s="110"/>
      <c r="MW6" s="110"/>
      <c r="MX6" s="110"/>
      <c r="MY6" s="110"/>
      <c r="MZ6" s="110"/>
      <c r="NA6" s="111"/>
      <c r="NB6" s="111"/>
      <c r="NC6" s="111"/>
      <c r="ND6" s="111"/>
      <c r="NE6" s="112"/>
      <c r="NF6" s="109"/>
      <c r="NG6" s="110"/>
      <c r="NH6" s="110"/>
      <c r="NI6" s="110"/>
      <c r="NJ6" s="110"/>
      <c r="NK6" s="110"/>
      <c r="NL6" s="110"/>
      <c r="NM6" s="110"/>
      <c r="NN6" s="110"/>
      <c r="NO6" s="110"/>
      <c r="NP6" s="110"/>
      <c r="NQ6" s="110"/>
      <c r="NR6" s="110"/>
      <c r="NS6" s="110"/>
      <c r="NT6" s="110"/>
      <c r="NU6" s="110"/>
      <c r="NV6" s="110"/>
      <c r="NW6" s="110"/>
      <c r="NX6" s="111"/>
      <c r="NY6" s="111"/>
      <c r="NZ6" s="111"/>
      <c r="OA6" s="111"/>
      <c r="OB6" s="112"/>
      <c r="OC6" s="109"/>
      <c r="OD6" s="110"/>
      <c r="OE6" s="110"/>
      <c r="OF6" s="110"/>
      <c r="OG6" s="110"/>
      <c r="OH6" s="110"/>
      <c r="OI6" s="110"/>
      <c r="OJ6" s="110"/>
      <c r="OK6" s="110"/>
      <c r="OL6" s="110"/>
      <c r="OM6" s="110"/>
      <c r="ON6" s="110"/>
      <c r="OO6" s="110"/>
      <c r="OP6" s="110"/>
      <c r="OQ6" s="110"/>
      <c r="OR6" s="110"/>
      <c r="OS6" s="110"/>
      <c r="OT6" s="110"/>
      <c r="OU6" s="111"/>
      <c r="OV6" s="111"/>
      <c r="OW6" s="111"/>
      <c r="OX6" s="111"/>
      <c r="OY6" s="112"/>
      <c r="OZ6" s="109"/>
      <c r="PA6" s="110"/>
      <c r="PB6" s="110"/>
      <c r="PC6" s="110"/>
      <c r="PD6" s="110"/>
      <c r="PE6" s="110"/>
      <c r="PF6" s="110"/>
      <c r="PG6" s="110"/>
      <c r="PH6" s="110"/>
      <c r="PI6" s="110"/>
      <c r="PJ6" s="110"/>
      <c r="PK6" s="110"/>
      <c r="PL6" s="110"/>
      <c r="PM6" s="110"/>
      <c r="PN6" s="110"/>
      <c r="PO6" s="110"/>
      <c r="PP6" s="110"/>
      <c r="PQ6" s="110"/>
      <c r="PR6" s="111"/>
      <c r="PS6" s="111"/>
      <c r="PT6" s="111"/>
      <c r="PU6" s="111"/>
      <c r="PV6" s="112"/>
      <c r="PW6" s="109"/>
      <c r="PX6" s="110"/>
      <c r="PY6" s="110"/>
      <c r="PZ6" s="110"/>
      <c r="QA6" s="110"/>
      <c r="QB6" s="110"/>
      <c r="QC6" s="110"/>
      <c r="QD6" s="110"/>
      <c r="QE6" s="110"/>
      <c r="QF6" s="110"/>
      <c r="QG6" s="110"/>
      <c r="QH6" s="110"/>
      <c r="QI6" s="110"/>
      <c r="QJ6" s="110"/>
      <c r="QK6" s="110"/>
      <c r="QL6" s="110"/>
      <c r="QM6" s="110"/>
      <c r="QN6" s="110"/>
      <c r="QO6" s="111"/>
      <c r="QP6" s="111"/>
      <c r="QQ6" s="111"/>
      <c r="QR6" s="111"/>
      <c r="QS6" s="112"/>
    </row>
    <row r="7" spans="1:533" ht="45" customHeight="1" x14ac:dyDescent="0.5">
      <c r="A7" s="44" t="str">
        <f>A5</f>
        <v>The Warriors</v>
      </c>
      <c r="B7" s="44">
        <f>B5</f>
        <v>3</v>
      </c>
      <c r="C7" s="44">
        <f>C5</f>
        <v>7</v>
      </c>
      <c r="D7" s="86" t="s">
        <v>32</v>
      </c>
      <c r="E7" s="105">
        <f t="shared" ref="E7:I7" si="24">SUM(E2:E6)</f>
        <v>19</v>
      </c>
      <c r="F7" s="105">
        <f t="shared" si="24"/>
        <v>36</v>
      </c>
      <c r="G7" s="105">
        <f t="shared" si="24"/>
        <v>4</v>
      </c>
      <c r="H7" s="105">
        <f t="shared" si="24"/>
        <v>17</v>
      </c>
      <c r="I7" s="105">
        <f t="shared" si="24"/>
        <v>23</v>
      </c>
      <c r="J7" s="105">
        <f t="shared" si="1"/>
        <v>53</v>
      </c>
      <c r="K7" s="105">
        <f t="shared" ref="K7:U7" si="25">SUM(K2:K6)</f>
        <v>8</v>
      </c>
      <c r="L7" s="105">
        <f t="shared" si="25"/>
        <v>11</v>
      </c>
      <c r="M7" s="105">
        <f t="shared" si="25"/>
        <v>9</v>
      </c>
      <c r="N7" s="105">
        <f t="shared" si="25"/>
        <v>15</v>
      </c>
      <c r="O7" s="105">
        <f t="shared" si="25"/>
        <v>58</v>
      </c>
      <c r="P7" s="105">
        <f t="shared" si="25"/>
        <v>24</v>
      </c>
      <c r="Q7" s="105">
        <f t="shared" si="25"/>
        <v>13</v>
      </c>
      <c r="R7" s="105">
        <f t="shared" si="25"/>
        <v>0</v>
      </c>
      <c r="S7" s="105">
        <f t="shared" si="25"/>
        <v>4</v>
      </c>
      <c r="T7" s="105">
        <f t="shared" si="25"/>
        <v>6</v>
      </c>
      <c r="U7" s="105">
        <f t="shared" si="25"/>
        <v>12</v>
      </c>
      <c r="V7" s="106">
        <f>IFERROR(I7/J7,0)</f>
        <v>0.43396226415094341</v>
      </c>
      <c r="W7" s="106">
        <f>IFERROR(O7/(2*(J7+0.44*L7)), 0)</f>
        <v>0.50138312586445366</v>
      </c>
      <c r="X7" s="106">
        <f>IFERROR(K7/L7,0)</f>
        <v>0.72727272727272729</v>
      </c>
      <c r="Y7" s="106">
        <f>IFERROR(E7/F7,0)</f>
        <v>0.52777777777777779</v>
      </c>
      <c r="Z7" s="106">
        <f t="shared" si="8"/>
        <v>0.23529411764705882</v>
      </c>
      <c r="AA7" s="107">
        <f>IFERROR(AVERAGE(AA2:AA6),0)</f>
        <v>8.4</v>
      </c>
      <c r="AB7" s="46" t="str">
        <f t="shared" si="21"/>
        <v>FINAL</v>
      </c>
      <c r="AC7" s="109"/>
      <c r="AD7" s="109"/>
      <c r="AE7" s="109"/>
      <c r="AF7" s="109"/>
      <c r="AG7" s="109"/>
      <c r="AH7" s="109"/>
      <c r="AL7" s="109"/>
      <c r="AM7" s="109"/>
      <c r="AN7" s="109"/>
      <c r="AO7" s="109"/>
      <c r="AP7" s="109"/>
      <c r="AQ7" s="117"/>
      <c r="AR7" s="117"/>
      <c r="AS7" s="117"/>
      <c r="AT7" s="117"/>
      <c r="AU7" s="118"/>
      <c r="AV7" s="109"/>
      <c r="AW7" s="109"/>
      <c r="AX7" s="109"/>
      <c r="AY7" s="109"/>
      <c r="AZ7" s="109"/>
      <c r="BA7" s="109"/>
      <c r="BB7" s="109"/>
      <c r="BC7" s="109"/>
      <c r="BD7" s="109"/>
      <c r="BE7" s="109"/>
      <c r="BF7" s="109"/>
      <c r="BG7" s="109"/>
      <c r="BH7" s="109"/>
      <c r="BI7" s="109"/>
      <c r="BJ7" s="109"/>
      <c r="BK7" s="109"/>
      <c r="BL7" s="109"/>
      <c r="BM7" s="109"/>
      <c r="BN7" s="117"/>
      <c r="BO7" s="117"/>
      <c r="BP7" s="117"/>
      <c r="BQ7" s="117"/>
      <c r="BR7" s="118"/>
      <c r="BS7" s="109"/>
      <c r="BT7" s="109"/>
      <c r="BU7" s="109"/>
      <c r="BV7" s="109"/>
      <c r="BW7" s="109"/>
      <c r="BX7" s="109"/>
      <c r="BY7" s="109"/>
      <c r="BZ7" s="109"/>
      <c r="CA7" s="109"/>
      <c r="CB7" s="109"/>
      <c r="CC7" s="109"/>
      <c r="CD7" s="109"/>
      <c r="CE7" s="109"/>
      <c r="CF7" s="109"/>
      <c r="CG7" s="109"/>
      <c r="CH7" s="109"/>
      <c r="CI7" s="109"/>
      <c r="CJ7" s="109"/>
      <c r="CK7" s="117"/>
      <c r="CL7" s="117"/>
      <c r="CM7" s="117"/>
      <c r="CN7" s="117"/>
      <c r="CO7" s="118"/>
      <c r="CP7" s="109"/>
      <c r="CQ7" s="109"/>
      <c r="CR7" s="109"/>
      <c r="CS7" s="109"/>
      <c r="CT7" s="109"/>
      <c r="CU7" s="109"/>
      <c r="CV7" s="109"/>
      <c r="CW7" s="109"/>
      <c r="CX7" s="109"/>
      <c r="CY7" s="109"/>
      <c r="CZ7" s="109"/>
      <c r="DA7" s="109"/>
      <c r="DB7" s="109"/>
      <c r="DC7" s="109"/>
      <c r="DD7" s="109"/>
      <c r="DE7" s="109"/>
      <c r="DF7" s="109"/>
      <c r="DG7" s="109"/>
      <c r="DH7" s="117"/>
      <c r="DI7" s="117"/>
      <c r="DJ7" s="117"/>
      <c r="DK7" s="117"/>
      <c r="DL7" s="118"/>
      <c r="DM7" s="109"/>
      <c r="DN7" s="109"/>
      <c r="DO7" s="109"/>
      <c r="DP7" s="109"/>
      <c r="DQ7" s="109"/>
      <c r="DR7" s="109"/>
      <c r="DS7" s="109"/>
      <c r="DT7" s="109"/>
      <c r="DU7" s="109"/>
      <c r="DV7" s="109"/>
      <c r="DW7" s="109"/>
      <c r="DX7" s="109"/>
      <c r="DY7" s="109"/>
      <c r="DZ7" s="109"/>
      <c r="EA7" s="109"/>
      <c r="EB7" s="109"/>
      <c r="EC7" s="109"/>
      <c r="ED7" s="109"/>
      <c r="EE7" s="117"/>
      <c r="EF7" s="117"/>
      <c r="EG7" s="117"/>
      <c r="EH7" s="117"/>
      <c r="EI7" s="118"/>
      <c r="EJ7" s="109"/>
      <c r="EK7" s="109"/>
      <c r="EL7" s="109"/>
      <c r="EM7" s="109"/>
      <c r="EN7" s="109"/>
      <c r="EO7" s="109"/>
      <c r="EP7" s="109"/>
      <c r="EQ7" s="109"/>
      <c r="ER7" s="109"/>
      <c r="ES7" s="109"/>
      <c r="ET7" s="109"/>
      <c r="EU7" s="109"/>
      <c r="EV7" s="109"/>
      <c r="EW7" s="109"/>
      <c r="EX7" s="109"/>
      <c r="EY7" s="109"/>
      <c r="EZ7" s="109"/>
      <c r="FA7" s="109"/>
      <c r="FB7" s="117"/>
      <c r="FC7" s="117"/>
      <c r="FD7" s="117"/>
      <c r="FE7" s="117"/>
      <c r="FF7" s="118"/>
      <c r="FG7" s="109"/>
      <c r="FH7" s="109"/>
      <c r="FI7" s="109"/>
      <c r="FJ7" s="109"/>
      <c r="FK7" s="109"/>
      <c r="FL7" s="109"/>
      <c r="FM7" s="109"/>
      <c r="FN7" s="109"/>
      <c r="FO7" s="109"/>
      <c r="FP7" s="109"/>
      <c r="FQ7" s="109"/>
      <c r="FR7" s="109"/>
      <c r="FS7" s="109"/>
      <c r="FT7" s="109"/>
      <c r="FU7" s="109"/>
      <c r="FV7" s="109"/>
      <c r="FW7" s="109"/>
      <c r="FX7" s="109"/>
      <c r="FY7" s="117"/>
      <c r="FZ7" s="117"/>
      <c r="GA7" s="117"/>
      <c r="GB7" s="117"/>
      <c r="GC7" s="118"/>
      <c r="GD7" s="109"/>
      <c r="GE7" s="109"/>
      <c r="GF7" s="109"/>
      <c r="GG7" s="109"/>
      <c r="GH7" s="109"/>
      <c r="GI7" s="109"/>
      <c r="GJ7" s="109"/>
      <c r="GK7" s="109"/>
      <c r="GL7" s="109"/>
      <c r="GM7" s="109"/>
      <c r="GN7" s="109"/>
      <c r="GO7" s="109"/>
      <c r="GP7" s="109"/>
      <c r="GQ7" s="109"/>
      <c r="GR7" s="109"/>
      <c r="GS7" s="109"/>
      <c r="GT7" s="109"/>
      <c r="GU7" s="109"/>
      <c r="GV7" s="117"/>
      <c r="GW7" s="117"/>
      <c r="GX7" s="117"/>
      <c r="GY7" s="117"/>
      <c r="GZ7" s="118"/>
      <c r="HA7" s="109"/>
      <c r="HB7" s="109"/>
      <c r="HC7" s="109"/>
      <c r="HD7" s="109"/>
      <c r="HE7" s="109"/>
      <c r="HF7" s="109"/>
      <c r="HG7" s="109"/>
      <c r="HH7" s="109"/>
      <c r="HI7" s="109"/>
      <c r="HJ7" s="109"/>
      <c r="HK7" s="109"/>
      <c r="HL7" s="109"/>
      <c r="HM7" s="109"/>
      <c r="HN7" s="109"/>
      <c r="HO7" s="109"/>
      <c r="HP7" s="109"/>
      <c r="HQ7" s="109"/>
      <c r="HR7" s="109"/>
      <c r="HS7" s="117"/>
      <c r="HT7" s="117"/>
      <c r="HU7" s="117"/>
      <c r="HV7" s="117"/>
      <c r="HW7" s="118"/>
      <c r="HX7" s="109"/>
      <c r="HY7" s="109"/>
      <c r="HZ7" s="109"/>
      <c r="IA7" s="109"/>
      <c r="IB7" s="109"/>
      <c r="IC7" s="109"/>
      <c r="ID7" s="109"/>
      <c r="IE7" s="109"/>
      <c r="IF7" s="109"/>
      <c r="IG7" s="109"/>
      <c r="IH7" s="109"/>
      <c r="II7" s="109"/>
      <c r="IJ7" s="109"/>
      <c r="IK7" s="109"/>
      <c r="IL7" s="109"/>
      <c r="IM7" s="109"/>
      <c r="IN7" s="109"/>
      <c r="IO7" s="109"/>
      <c r="IP7" s="117"/>
      <c r="IQ7" s="117"/>
      <c r="IR7" s="117"/>
      <c r="IS7" s="117"/>
      <c r="IT7" s="118"/>
      <c r="IU7" s="109"/>
      <c r="IV7" s="109"/>
      <c r="IW7" s="109"/>
      <c r="IX7" s="109"/>
      <c r="IY7" s="109"/>
      <c r="IZ7" s="109"/>
      <c r="JA7" s="109"/>
      <c r="JB7" s="109"/>
      <c r="JC7" s="109"/>
      <c r="JD7" s="109"/>
      <c r="JE7" s="109"/>
      <c r="JF7" s="109"/>
      <c r="JG7" s="109"/>
      <c r="JH7" s="109"/>
      <c r="JI7" s="109"/>
      <c r="JJ7" s="109"/>
      <c r="JK7" s="109"/>
      <c r="JL7" s="109"/>
      <c r="JM7" s="117"/>
      <c r="JN7" s="117"/>
      <c r="JO7" s="117"/>
      <c r="JP7" s="117"/>
      <c r="JQ7" s="118"/>
      <c r="JR7" s="109"/>
      <c r="JS7" s="109"/>
      <c r="JT7" s="109"/>
      <c r="JU7" s="109"/>
      <c r="JV7" s="109"/>
      <c r="JW7" s="109"/>
      <c r="JX7" s="109"/>
      <c r="JY7" s="109"/>
      <c r="JZ7" s="109"/>
      <c r="KA7" s="109"/>
      <c r="KB7" s="109"/>
      <c r="KC7" s="109"/>
      <c r="KD7" s="109"/>
      <c r="KE7" s="109"/>
      <c r="KF7" s="109"/>
      <c r="KG7" s="109"/>
      <c r="KH7" s="109"/>
      <c r="KI7" s="109"/>
      <c r="KJ7" s="117"/>
      <c r="KK7" s="117"/>
      <c r="KL7" s="117"/>
      <c r="KM7" s="117"/>
      <c r="KN7" s="118"/>
      <c r="KO7" s="109"/>
      <c r="KP7" s="109"/>
      <c r="KQ7" s="109"/>
      <c r="KR7" s="109"/>
      <c r="KS7" s="109"/>
      <c r="KT7" s="109"/>
      <c r="KU7" s="109"/>
      <c r="KV7" s="109"/>
      <c r="KW7" s="109"/>
      <c r="KX7" s="109"/>
      <c r="KY7" s="109"/>
      <c r="KZ7" s="109"/>
      <c r="LA7" s="109"/>
      <c r="LB7" s="109"/>
      <c r="LC7" s="109"/>
      <c r="LD7" s="109"/>
      <c r="LE7" s="109"/>
      <c r="LF7" s="109"/>
      <c r="LG7" s="117"/>
      <c r="LH7" s="117"/>
      <c r="LI7" s="117"/>
      <c r="LJ7" s="117"/>
      <c r="LK7" s="118"/>
      <c r="LL7" s="109"/>
      <c r="LM7" s="109"/>
      <c r="LN7" s="109"/>
      <c r="LO7" s="109"/>
      <c r="LP7" s="109"/>
      <c r="LQ7" s="109"/>
      <c r="LR7" s="109"/>
      <c r="LS7" s="109"/>
      <c r="LT7" s="109"/>
      <c r="LU7" s="109"/>
      <c r="LV7" s="109"/>
      <c r="LW7" s="109"/>
      <c r="LX7" s="109"/>
      <c r="LY7" s="109"/>
      <c r="LZ7" s="109"/>
      <c r="MA7" s="109"/>
      <c r="MB7" s="109"/>
      <c r="MC7" s="109"/>
      <c r="MD7" s="117"/>
      <c r="ME7" s="117"/>
      <c r="MF7" s="117"/>
      <c r="MG7" s="117"/>
      <c r="MH7" s="118"/>
      <c r="MI7" s="109"/>
      <c r="MJ7" s="109"/>
      <c r="MK7" s="109"/>
      <c r="ML7" s="109"/>
      <c r="MM7" s="109"/>
      <c r="MN7" s="109"/>
      <c r="MO7" s="109"/>
      <c r="MP7" s="109"/>
      <c r="MQ7" s="109"/>
      <c r="MR7" s="109"/>
      <c r="MS7" s="109"/>
      <c r="MT7" s="109"/>
      <c r="MU7" s="109"/>
      <c r="MV7" s="109"/>
      <c r="MW7" s="109"/>
      <c r="MX7" s="109"/>
      <c r="MY7" s="109"/>
      <c r="MZ7" s="109"/>
      <c r="NA7" s="117"/>
      <c r="NB7" s="117"/>
      <c r="NC7" s="117"/>
      <c r="ND7" s="117"/>
      <c r="NE7" s="118"/>
      <c r="NF7" s="109"/>
      <c r="NG7" s="109"/>
      <c r="NH7" s="109"/>
      <c r="NI7" s="109"/>
      <c r="NJ7" s="109"/>
      <c r="NK7" s="109"/>
      <c r="NL7" s="109"/>
      <c r="NM7" s="109"/>
      <c r="NN7" s="109"/>
      <c r="NO7" s="109"/>
      <c r="NP7" s="109"/>
      <c r="NQ7" s="109"/>
      <c r="NR7" s="109"/>
      <c r="NS7" s="109"/>
      <c r="NT7" s="109"/>
      <c r="NU7" s="109"/>
      <c r="NV7" s="109"/>
      <c r="NW7" s="109"/>
      <c r="NX7" s="117"/>
      <c r="NY7" s="117"/>
      <c r="NZ7" s="117"/>
      <c r="OA7" s="117"/>
      <c r="OB7" s="118"/>
      <c r="OC7" s="109"/>
      <c r="OD7" s="109"/>
      <c r="OE7" s="109"/>
      <c r="OF7" s="109"/>
      <c r="OG7" s="109"/>
      <c r="OH7" s="109"/>
      <c r="OI7" s="109"/>
      <c r="OJ7" s="109"/>
      <c r="OK7" s="109"/>
      <c r="OL7" s="109"/>
      <c r="OM7" s="109"/>
      <c r="ON7" s="109"/>
      <c r="OO7" s="109"/>
      <c r="OP7" s="109"/>
      <c r="OQ7" s="109"/>
      <c r="OR7" s="109"/>
      <c r="OS7" s="109"/>
      <c r="OT7" s="109"/>
      <c r="OU7" s="117"/>
      <c r="OV7" s="117"/>
      <c r="OW7" s="117"/>
      <c r="OX7" s="117"/>
      <c r="OY7" s="118"/>
      <c r="OZ7" s="109"/>
      <c r="PA7" s="109"/>
      <c r="PB7" s="109"/>
      <c r="PC7" s="109"/>
      <c r="PD7" s="109"/>
      <c r="PE7" s="109"/>
      <c r="PF7" s="109"/>
      <c r="PG7" s="109"/>
      <c r="PH7" s="109"/>
      <c r="PI7" s="109"/>
      <c r="PJ7" s="109"/>
      <c r="PK7" s="109"/>
      <c r="PL7" s="109"/>
      <c r="PM7" s="109"/>
      <c r="PN7" s="109"/>
      <c r="PO7" s="109"/>
      <c r="PP7" s="109"/>
      <c r="PQ7" s="109"/>
      <c r="PR7" s="117"/>
      <c r="PS7" s="117"/>
      <c r="PT7" s="117"/>
      <c r="PU7" s="117"/>
      <c r="PV7" s="118"/>
      <c r="PW7" s="109"/>
      <c r="PX7" s="109"/>
      <c r="PY7" s="109"/>
      <c r="PZ7" s="109"/>
      <c r="QA7" s="109"/>
      <c r="QB7" s="109"/>
      <c r="QC7" s="109"/>
      <c r="QD7" s="109"/>
      <c r="QE7" s="109"/>
      <c r="QF7" s="109"/>
      <c r="QG7" s="109"/>
      <c r="QH7" s="109"/>
      <c r="QI7" s="109"/>
      <c r="QJ7" s="109"/>
      <c r="QK7" s="109"/>
      <c r="QL7" s="109"/>
      <c r="QM7" s="109"/>
      <c r="QN7" s="109"/>
      <c r="QO7" s="117"/>
      <c r="QP7" s="117"/>
      <c r="QQ7" s="117"/>
      <c r="QR7" s="117"/>
      <c r="QS7" s="118"/>
    </row>
    <row r="8" spans="1:533" s="119" customFormat="1" ht="45" customHeight="1" x14ac:dyDescent="0.55000000000000004">
      <c r="A8" s="44" t="s">
        <v>33</v>
      </c>
      <c r="B8" s="44">
        <f t="shared" ref="B8:C8" si="26">B7</f>
        <v>3</v>
      </c>
      <c r="C8" s="44">
        <f t="shared" si="26"/>
        <v>7</v>
      </c>
      <c r="D8" s="158" t="s">
        <v>70</v>
      </c>
      <c r="E8" s="83"/>
      <c r="F8" s="83"/>
      <c r="G8" s="83"/>
      <c r="H8" s="83"/>
      <c r="I8" s="83"/>
      <c r="J8" s="83"/>
      <c r="K8" s="83"/>
      <c r="L8" s="83"/>
      <c r="M8" s="83"/>
      <c r="N8" s="83"/>
      <c r="O8" s="83">
        <v>60</v>
      </c>
      <c r="P8" s="83"/>
      <c r="Q8" s="83"/>
      <c r="R8" s="83"/>
      <c r="S8" s="83"/>
      <c r="T8" s="83"/>
      <c r="U8" s="83"/>
      <c r="V8" s="83"/>
      <c r="W8" s="83"/>
      <c r="X8" s="83"/>
      <c r="Y8" s="83"/>
      <c r="Z8" s="83"/>
      <c r="AA8" s="83"/>
      <c r="AB8" s="46" t="str">
        <f t="shared" si="21"/>
        <v>FINAL</v>
      </c>
      <c r="AI8" s="108"/>
      <c r="AJ8" s="108"/>
      <c r="AK8" s="108"/>
      <c r="RQ8" s="108"/>
      <c r="RR8" s="108"/>
      <c r="RS8" s="108"/>
      <c r="RT8" s="108"/>
      <c r="RU8" s="108"/>
      <c r="RV8" s="108"/>
      <c r="RW8" s="108"/>
      <c r="RX8" s="108"/>
      <c r="RY8" s="108"/>
      <c r="RZ8" s="108"/>
      <c r="SA8" s="108"/>
      <c r="SB8" s="108"/>
      <c r="SC8" s="108"/>
      <c r="SD8" s="108"/>
      <c r="SE8" s="108"/>
      <c r="SF8" s="108"/>
      <c r="SG8" s="108"/>
      <c r="SH8" s="108"/>
      <c r="SI8" s="108"/>
      <c r="SJ8" s="108"/>
      <c r="SK8" s="108"/>
      <c r="SL8" s="108"/>
      <c r="SM8" s="108"/>
      <c r="SN8" s="108"/>
      <c r="SO8" s="108"/>
      <c r="SP8" s="108"/>
      <c r="SQ8" s="108"/>
      <c r="SR8" s="108"/>
      <c r="SS8" s="108"/>
      <c r="ST8" s="108"/>
      <c r="SU8" s="108"/>
      <c r="SV8" s="108"/>
      <c r="SW8" s="108"/>
      <c r="SX8" s="108"/>
      <c r="SY8" s="108"/>
      <c r="SZ8" s="108"/>
      <c r="TA8" s="108"/>
      <c r="TB8" s="108"/>
      <c r="TC8" s="108"/>
      <c r="TD8" s="108"/>
      <c r="TE8" s="108"/>
      <c r="TF8" s="108"/>
      <c r="TG8" s="108"/>
      <c r="TH8" s="108"/>
      <c r="TI8" s="108"/>
      <c r="TJ8" s="108"/>
      <c r="TK8" s="108"/>
      <c r="TL8" s="108"/>
      <c r="TM8" s="108"/>
    </row>
    <row r="9" spans="1:533" ht="45" customHeight="1" x14ac:dyDescent="0.55000000000000004">
      <c r="A9" s="115"/>
      <c r="B9" s="116"/>
      <c r="C9" s="116"/>
      <c r="D9" s="116"/>
      <c r="E9" s="116"/>
      <c r="F9" s="116"/>
      <c r="G9" s="116"/>
      <c r="H9" s="116"/>
      <c r="I9" s="116" t="s">
        <v>47</v>
      </c>
      <c r="J9" s="116"/>
      <c r="K9" s="116"/>
      <c r="L9" s="116"/>
      <c r="M9" s="116"/>
      <c r="N9" s="116"/>
      <c r="O9" s="116"/>
      <c r="P9" s="116"/>
      <c r="Q9" s="116"/>
      <c r="R9" s="116"/>
      <c r="S9" s="116"/>
      <c r="T9" s="116"/>
      <c r="U9" s="116"/>
      <c r="V9" s="116"/>
      <c r="W9" s="116"/>
      <c r="X9" s="116"/>
      <c r="Y9" s="116"/>
      <c r="Z9" s="116"/>
      <c r="AA9" s="116"/>
      <c r="AI9" s="109"/>
      <c r="HA9" s="119"/>
    </row>
    <row r="10" spans="1:533" ht="45" customHeight="1" x14ac:dyDescent="0.5">
      <c r="AI10" s="111"/>
    </row>
    <row r="11" spans="1:533" ht="45" customHeight="1" x14ac:dyDescent="0.25">
      <c r="Q11" s="166" t="s">
        <v>47</v>
      </c>
    </row>
    <row r="12" spans="1:533" s="120" customFormat="1" ht="45" customHeight="1" x14ac:dyDescent="0.5">
      <c r="A12" s="108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109"/>
      <c r="S12" s="110"/>
      <c r="T12" s="110"/>
      <c r="U12" s="110"/>
      <c r="V12" s="108"/>
      <c r="W12" s="108"/>
      <c r="X12" s="108"/>
      <c r="Y12" s="108"/>
      <c r="Z12" s="108"/>
      <c r="AA12" s="108"/>
      <c r="AB12" s="108"/>
      <c r="AC12" s="108"/>
      <c r="AD12" s="108"/>
      <c r="AE12" s="108"/>
      <c r="AF12" s="108"/>
      <c r="AG12" s="108"/>
      <c r="AH12" s="108"/>
      <c r="AI12" s="108"/>
      <c r="AJ12" s="109"/>
      <c r="AK12" s="109"/>
      <c r="AL12" s="108"/>
      <c r="AM12" s="108"/>
      <c r="AN12" s="109"/>
      <c r="AO12" s="110"/>
      <c r="AP12" s="110"/>
      <c r="AQ12" s="110"/>
      <c r="AR12" s="108"/>
      <c r="AS12" s="108"/>
      <c r="AT12" s="108"/>
      <c r="AU12" s="108"/>
      <c r="AV12" s="108"/>
      <c r="AW12" s="108"/>
      <c r="AX12" s="108"/>
      <c r="AY12" s="108"/>
      <c r="AZ12" s="108"/>
      <c r="BA12" s="108"/>
      <c r="BB12" s="108"/>
      <c r="BC12" s="108"/>
      <c r="BD12" s="108"/>
      <c r="BE12" s="108"/>
      <c r="BF12" s="108"/>
      <c r="BG12" s="108"/>
      <c r="BH12" s="108"/>
      <c r="BI12" s="109"/>
      <c r="BJ12" s="110"/>
      <c r="BK12" s="110"/>
      <c r="BL12" s="110"/>
      <c r="BM12" s="108"/>
      <c r="BN12" s="108"/>
      <c r="BO12" s="108"/>
      <c r="BP12" s="108"/>
      <c r="BQ12" s="108"/>
      <c r="BR12" s="108"/>
      <c r="BS12" s="108"/>
      <c r="BT12" s="108"/>
      <c r="BU12" s="108"/>
      <c r="BV12" s="108"/>
      <c r="BW12" s="108"/>
      <c r="BX12" s="108"/>
      <c r="BY12" s="108"/>
      <c r="BZ12" s="108"/>
      <c r="CA12" s="108"/>
      <c r="CB12" s="108"/>
      <c r="CC12" s="108"/>
      <c r="CD12" s="109"/>
      <c r="CE12" s="110"/>
      <c r="CF12" s="110"/>
      <c r="CG12" s="110"/>
      <c r="CH12" s="108"/>
      <c r="CI12" s="108"/>
      <c r="CJ12" s="108"/>
      <c r="CK12" s="108"/>
      <c r="CL12" s="108"/>
      <c r="CM12" s="108"/>
      <c r="CN12" s="108"/>
      <c r="CO12" s="108"/>
      <c r="CP12" s="108"/>
      <c r="CQ12" s="108"/>
      <c r="CR12" s="108"/>
      <c r="CS12" s="108"/>
      <c r="CT12" s="108"/>
      <c r="CU12" s="108"/>
      <c r="CV12" s="108"/>
      <c r="CW12" s="108"/>
      <c r="CX12" s="108"/>
      <c r="CY12" s="109"/>
      <c r="CZ12" s="110"/>
      <c r="DA12" s="110"/>
      <c r="DB12" s="110"/>
      <c r="DC12" s="108"/>
      <c r="DD12" s="108"/>
      <c r="DE12" s="108"/>
      <c r="DF12" s="108"/>
      <c r="DG12" s="108"/>
      <c r="DH12" s="108"/>
      <c r="DI12" s="108"/>
      <c r="DJ12" s="108"/>
      <c r="DK12" s="108"/>
      <c r="DL12" s="108"/>
      <c r="DM12" s="108"/>
      <c r="DN12" s="108"/>
      <c r="DO12" s="108"/>
      <c r="DP12" s="108"/>
      <c r="DQ12" s="108"/>
      <c r="DR12" s="108"/>
      <c r="DS12" s="108"/>
      <c r="DT12" s="109"/>
      <c r="DU12" s="110"/>
      <c r="DV12" s="110"/>
      <c r="DW12" s="110"/>
      <c r="DX12" s="108"/>
      <c r="DY12" s="108"/>
      <c r="DZ12" s="108"/>
      <c r="EA12" s="108"/>
      <c r="EB12" s="108"/>
      <c r="EC12" s="108"/>
      <c r="ED12" s="108"/>
      <c r="EE12" s="108"/>
      <c r="EF12" s="108"/>
      <c r="EG12" s="108"/>
      <c r="EH12" s="108"/>
      <c r="EI12" s="108"/>
      <c r="EJ12" s="108"/>
      <c r="EK12" s="108"/>
      <c r="EL12" s="108"/>
      <c r="EM12" s="108"/>
      <c r="EN12" s="108"/>
      <c r="EO12" s="109"/>
      <c r="EP12" s="110"/>
      <c r="EQ12" s="110"/>
      <c r="ER12" s="110"/>
      <c r="ES12" s="108"/>
      <c r="ET12" s="108"/>
      <c r="EU12" s="108"/>
      <c r="EV12" s="108"/>
      <c r="EW12" s="108"/>
      <c r="EX12" s="108"/>
      <c r="EY12" s="108"/>
      <c r="EZ12" s="108"/>
      <c r="FA12" s="108"/>
      <c r="FB12" s="108"/>
      <c r="FC12" s="108"/>
      <c r="FD12" s="108"/>
      <c r="FE12" s="108"/>
      <c r="FF12" s="108"/>
      <c r="FG12" s="108"/>
      <c r="FH12" s="108"/>
      <c r="FI12" s="108"/>
      <c r="FJ12" s="109"/>
      <c r="FK12" s="110"/>
      <c r="FL12" s="110"/>
      <c r="FM12" s="110"/>
      <c r="FN12" s="108"/>
      <c r="FO12" s="108"/>
      <c r="FP12" s="108"/>
      <c r="FQ12" s="108"/>
      <c r="FR12" s="108"/>
      <c r="FS12" s="108"/>
      <c r="FT12" s="108"/>
      <c r="FU12" s="108"/>
      <c r="FV12" s="108"/>
      <c r="FW12" s="108"/>
      <c r="FX12" s="108"/>
      <c r="FY12" s="108"/>
      <c r="FZ12" s="108"/>
      <c r="GA12" s="108"/>
      <c r="GB12" s="108"/>
      <c r="GC12" s="108"/>
      <c r="GD12" s="108"/>
      <c r="GE12" s="109"/>
      <c r="GF12" s="110"/>
      <c r="GG12" s="110"/>
      <c r="GH12" s="110"/>
      <c r="GI12" s="108"/>
      <c r="GJ12" s="108"/>
      <c r="GK12" s="108"/>
      <c r="GL12" s="108"/>
      <c r="GM12" s="108"/>
      <c r="GN12" s="108"/>
      <c r="GO12" s="108"/>
      <c r="GP12" s="108"/>
      <c r="GQ12" s="108"/>
      <c r="GR12" s="108"/>
      <c r="GS12" s="108"/>
      <c r="GT12" s="108"/>
      <c r="GU12" s="108"/>
      <c r="GV12" s="108"/>
      <c r="GW12" s="108"/>
      <c r="GX12" s="108"/>
      <c r="GY12" s="108"/>
      <c r="GZ12" s="109"/>
      <c r="HA12" s="110"/>
      <c r="HB12" s="110"/>
      <c r="HC12" s="110"/>
      <c r="HD12" s="108"/>
      <c r="HE12" s="108"/>
      <c r="HF12" s="108"/>
      <c r="HG12" s="108"/>
      <c r="HH12" s="108"/>
      <c r="HI12" s="108"/>
      <c r="HJ12" s="108"/>
      <c r="HK12" s="108"/>
      <c r="HL12" s="108"/>
      <c r="HM12" s="108"/>
      <c r="HN12" s="108"/>
      <c r="HO12" s="108"/>
      <c r="HP12" s="108"/>
      <c r="HQ12" s="108"/>
      <c r="HR12" s="108"/>
      <c r="HS12" s="108"/>
      <c r="HT12" s="108"/>
      <c r="HU12" s="109"/>
      <c r="HV12" s="110"/>
      <c r="HW12" s="110"/>
      <c r="HX12" s="110"/>
      <c r="HY12" s="108"/>
      <c r="HZ12" s="108"/>
      <c r="IA12" s="108"/>
      <c r="IB12" s="108"/>
      <c r="IC12" s="108"/>
      <c r="ID12" s="108"/>
      <c r="IE12" s="108"/>
      <c r="IF12" s="108"/>
      <c r="IG12" s="108"/>
      <c r="IH12" s="108"/>
      <c r="II12" s="108"/>
      <c r="IJ12" s="108"/>
      <c r="IK12" s="108"/>
      <c r="IL12" s="108"/>
      <c r="IM12" s="108"/>
      <c r="IN12" s="108"/>
      <c r="IO12" s="108"/>
      <c r="IP12" s="109"/>
      <c r="IQ12" s="110"/>
      <c r="IR12" s="110"/>
      <c r="IS12" s="110"/>
      <c r="IT12" s="108"/>
      <c r="IU12" s="108"/>
      <c r="IV12" s="108"/>
      <c r="IW12" s="108"/>
      <c r="IX12" s="108"/>
      <c r="IY12" s="108"/>
      <c r="IZ12" s="108"/>
      <c r="JA12" s="108"/>
      <c r="JB12" s="108"/>
      <c r="JC12" s="108"/>
      <c r="JD12" s="108"/>
      <c r="JE12" s="108"/>
      <c r="JF12" s="108"/>
      <c r="JG12" s="108"/>
      <c r="JH12" s="108"/>
      <c r="JI12" s="108"/>
      <c r="JJ12" s="108"/>
      <c r="JK12" s="109"/>
      <c r="JL12" s="110"/>
      <c r="JM12" s="110"/>
      <c r="JN12" s="110"/>
      <c r="JO12" s="108"/>
      <c r="JP12" s="108"/>
      <c r="JQ12" s="108"/>
      <c r="JR12" s="108"/>
      <c r="JS12" s="108"/>
      <c r="JT12" s="108"/>
      <c r="JU12" s="108"/>
      <c r="JV12" s="108"/>
      <c r="JW12" s="108"/>
      <c r="JX12" s="108"/>
      <c r="JY12" s="108"/>
      <c r="JZ12" s="108"/>
      <c r="KA12" s="108"/>
      <c r="KB12" s="108"/>
      <c r="KC12" s="108"/>
      <c r="KD12" s="108"/>
      <c r="KE12" s="108"/>
      <c r="KF12" s="109"/>
      <c r="KG12" s="110"/>
      <c r="KH12" s="110"/>
      <c r="KI12" s="110"/>
      <c r="KJ12" s="108"/>
      <c r="KK12" s="108"/>
      <c r="KL12" s="108"/>
      <c r="KM12" s="108"/>
      <c r="KN12" s="108"/>
      <c r="KO12" s="108"/>
      <c r="KP12" s="108"/>
      <c r="KQ12" s="108"/>
      <c r="KR12" s="108"/>
      <c r="KS12" s="108"/>
      <c r="KT12" s="108"/>
      <c r="KU12" s="108"/>
      <c r="KV12" s="108"/>
      <c r="KW12" s="108"/>
      <c r="KX12" s="108"/>
      <c r="KY12" s="108"/>
      <c r="KZ12" s="108"/>
      <c r="LA12" s="109"/>
      <c r="LB12" s="110"/>
      <c r="LC12" s="110"/>
      <c r="LD12" s="110"/>
    </row>
    <row r="13" spans="1:533" s="121" customFormat="1" ht="45" customHeight="1" x14ac:dyDescent="0.5">
      <c r="A13" s="108"/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9"/>
      <c r="S13" s="110"/>
      <c r="T13" s="110"/>
      <c r="U13" s="110"/>
      <c r="V13" s="108"/>
      <c r="W13" s="108"/>
      <c r="X13" s="108"/>
      <c r="Y13" s="108"/>
      <c r="Z13" s="108"/>
      <c r="AA13" s="108"/>
      <c r="AB13" s="108"/>
      <c r="AC13" s="108"/>
      <c r="AD13" s="108"/>
      <c r="AE13" s="108"/>
      <c r="AF13" s="108"/>
      <c r="AG13" s="108"/>
      <c r="AH13" s="108"/>
      <c r="AI13" s="108"/>
      <c r="AJ13" s="111"/>
      <c r="AK13" s="111"/>
      <c r="AL13" s="108"/>
      <c r="AM13" s="108"/>
      <c r="AN13" s="109"/>
      <c r="AO13" s="110"/>
      <c r="AP13" s="110"/>
      <c r="AQ13" s="110"/>
      <c r="AR13" s="108"/>
      <c r="AS13" s="108"/>
      <c r="AT13" s="108"/>
      <c r="AU13" s="108"/>
      <c r="AV13" s="108"/>
      <c r="AW13" s="108"/>
      <c r="AX13" s="108"/>
      <c r="AY13" s="108"/>
      <c r="AZ13" s="108"/>
      <c r="BA13" s="108"/>
      <c r="BB13" s="108"/>
      <c r="BC13" s="108"/>
      <c r="BD13" s="108"/>
      <c r="BE13" s="108"/>
      <c r="BF13" s="108"/>
      <c r="BG13" s="108"/>
      <c r="BH13" s="108"/>
      <c r="BI13" s="109"/>
      <c r="BJ13" s="110"/>
      <c r="BK13" s="110"/>
      <c r="BL13" s="110"/>
      <c r="BM13" s="108"/>
      <c r="BN13" s="108"/>
      <c r="BO13" s="108"/>
      <c r="BP13" s="108"/>
      <c r="BQ13" s="108"/>
      <c r="BR13" s="108"/>
      <c r="BS13" s="108"/>
      <c r="BT13" s="108"/>
      <c r="BU13" s="108"/>
      <c r="BV13" s="108"/>
      <c r="BW13" s="108"/>
      <c r="BX13" s="108"/>
      <c r="BY13" s="108"/>
      <c r="BZ13" s="108"/>
      <c r="CA13" s="108"/>
      <c r="CB13" s="108"/>
      <c r="CC13" s="108"/>
      <c r="CD13" s="109"/>
      <c r="CE13" s="110"/>
      <c r="CF13" s="110"/>
      <c r="CG13" s="110"/>
      <c r="CH13" s="108"/>
      <c r="CI13" s="108"/>
      <c r="CJ13" s="108"/>
      <c r="CK13" s="108"/>
      <c r="CL13" s="108"/>
      <c r="CM13" s="108"/>
      <c r="CN13" s="108"/>
      <c r="CO13" s="108"/>
      <c r="CP13" s="108"/>
      <c r="CQ13" s="108"/>
      <c r="CR13" s="108"/>
      <c r="CS13" s="108"/>
      <c r="CT13" s="108"/>
      <c r="CU13" s="108"/>
      <c r="CV13" s="108"/>
      <c r="CW13" s="108"/>
      <c r="CX13" s="108"/>
      <c r="CY13" s="109"/>
      <c r="CZ13" s="110"/>
      <c r="DA13" s="110"/>
      <c r="DB13" s="110"/>
      <c r="DC13" s="108"/>
      <c r="DD13" s="108"/>
      <c r="DE13" s="108"/>
      <c r="DF13" s="108"/>
      <c r="DG13" s="108"/>
      <c r="DH13" s="108"/>
      <c r="DI13" s="108"/>
      <c r="DJ13" s="108"/>
      <c r="DK13" s="108"/>
      <c r="DL13" s="108"/>
      <c r="DM13" s="108"/>
      <c r="DN13" s="108"/>
      <c r="DO13" s="108"/>
      <c r="DP13" s="108"/>
      <c r="DQ13" s="108"/>
      <c r="DR13" s="108"/>
      <c r="DS13" s="108"/>
      <c r="DT13" s="109"/>
      <c r="DU13" s="110"/>
      <c r="DV13" s="110"/>
      <c r="DW13" s="110"/>
      <c r="DX13" s="108"/>
      <c r="DY13" s="108"/>
      <c r="DZ13" s="108"/>
      <c r="EA13" s="108"/>
      <c r="EB13" s="108"/>
      <c r="EC13" s="108"/>
      <c r="ED13" s="108"/>
      <c r="EE13" s="108"/>
      <c r="EF13" s="108"/>
      <c r="EG13" s="108"/>
      <c r="EH13" s="108"/>
      <c r="EI13" s="108"/>
      <c r="EJ13" s="108"/>
      <c r="EK13" s="108"/>
      <c r="EL13" s="108"/>
      <c r="EM13" s="108"/>
      <c r="EN13" s="108"/>
      <c r="EO13" s="109"/>
      <c r="EP13" s="110"/>
      <c r="EQ13" s="110"/>
      <c r="ER13" s="110"/>
      <c r="ES13" s="108"/>
      <c r="ET13" s="108"/>
      <c r="EU13" s="108"/>
      <c r="EV13" s="108"/>
      <c r="EW13" s="108"/>
      <c r="EX13" s="108"/>
      <c r="EY13" s="108"/>
      <c r="EZ13" s="108"/>
      <c r="FA13" s="108"/>
      <c r="FB13" s="108"/>
      <c r="FC13" s="108"/>
      <c r="FD13" s="108"/>
      <c r="FE13" s="108"/>
      <c r="FF13" s="108"/>
      <c r="FG13" s="108"/>
      <c r="FH13" s="108"/>
      <c r="FI13" s="108"/>
      <c r="FJ13" s="109"/>
      <c r="FK13" s="110"/>
      <c r="FL13" s="110"/>
      <c r="FM13" s="110"/>
      <c r="FN13" s="108"/>
      <c r="FO13" s="108"/>
      <c r="FP13" s="108"/>
      <c r="FQ13" s="108"/>
      <c r="FR13" s="108"/>
      <c r="FS13" s="108"/>
      <c r="FT13" s="108"/>
      <c r="FU13" s="108"/>
      <c r="FV13" s="108"/>
      <c r="FW13" s="108"/>
      <c r="FX13" s="108"/>
      <c r="FY13" s="108"/>
      <c r="FZ13" s="108"/>
      <c r="GA13" s="108"/>
      <c r="GB13" s="108"/>
      <c r="GC13" s="108"/>
      <c r="GD13" s="108"/>
      <c r="GE13" s="109"/>
      <c r="GF13" s="110"/>
      <c r="GG13" s="110"/>
      <c r="GH13" s="110"/>
      <c r="GI13" s="108"/>
      <c r="GJ13" s="108"/>
      <c r="GK13" s="108"/>
      <c r="GL13" s="108"/>
      <c r="GM13" s="108"/>
      <c r="GN13" s="108"/>
      <c r="GO13" s="108"/>
      <c r="GP13" s="108"/>
      <c r="GQ13" s="108"/>
      <c r="GR13" s="108"/>
      <c r="GS13" s="108"/>
      <c r="GT13" s="108"/>
      <c r="GU13" s="108"/>
      <c r="GV13" s="108"/>
      <c r="GW13" s="108"/>
      <c r="GX13" s="108"/>
      <c r="GY13" s="108"/>
      <c r="GZ13" s="109"/>
      <c r="HA13" s="110"/>
      <c r="HB13" s="110"/>
      <c r="HC13" s="110"/>
      <c r="HD13" s="108"/>
      <c r="HE13" s="108"/>
      <c r="HF13" s="108"/>
      <c r="HG13" s="108"/>
      <c r="HH13" s="108"/>
      <c r="HI13" s="108"/>
      <c r="HJ13" s="108"/>
      <c r="HK13" s="108"/>
      <c r="HL13" s="108"/>
      <c r="HM13" s="108"/>
      <c r="HN13" s="108"/>
      <c r="HO13" s="108"/>
      <c r="HP13" s="108"/>
      <c r="HQ13" s="108"/>
      <c r="HR13" s="108"/>
      <c r="HS13" s="108"/>
      <c r="HT13" s="108"/>
      <c r="HU13" s="109"/>
      <c r="HV13" s="110"/>
      <c r="HW13" s="110"/>
      <c r="HX13" s="110"/>
      <c r="HY13" s="108"/>
      <c r="HZ13" s="108"/>
      <c r="IA13" s="108"/>
      <c r="IB13" s="108"/>
      <c r="IC13" s="108"/>
      <c r="ID13" s="108"/>
      <c r="IE13" s="108"/>
      <c r="IF13" s="108"/>
      <c r="IG13" s="108"/>
      <c r="IH13" s="108"/>
      <c r="II13" s="108"/>
      <c r="IJ13" s="108"/>
      <c r="IK13" s="108"/>
      <c r="IL13" s="108"/>
      <c r="IM13" s="108"/>
      <c r="IN13" s="108"/>
      <c r="IO13" s="108"/>
      <c r="IP13" s="109"/>
      <c r="IQ13" s="110"/>
      <c r="IR13" s="110"/>
      <c r="IS13" s="110"/>
      <c r="IT13" s="108"/>
      <c r="IU13" s="108"/>
      <c r="IV13" s="108"/>
      <c r="IW13" s="108"/>
      <c r="IX13" s="108"/>
      <c r="IY13" s="108"/>
      <c r="IZ13" s="108"/>
      <c r="JA13" s="108"/>
      <c r="JB13" s="108"/>
      <c r="JC13" s="108"/>
      <c r="JD13" s="108"/>
      <c r="JE13" s="108"/>
      <c r="JF13" s="108"/>
      <c r="JG13" s="108"/>
      <c r="JH13" s="108"/>
      <c r="JI13" s="108"/>
      <c r="JJ13" s="108"/>
      <c r="JK13" s="109"/>
      <c r="JL13" s="110"/>
      <c r="JM13" s="110"/>
      <c r="JN13" s="110"/>
      <c r="JO13" s="108"/>
      <c r="JP13" s="108"/>
      <c r="JQ13" s="108"/>
      <c r="JR13" s="108"/>
      <c r="JS13" s="108"/>
      <c r="JT13" s="108"/>
      <c r="JU13" s="108"/>
      <c r="JV13" s="108"/>
      <c r="JW13" s="108"/>
      <c r="JX13" s="108"/>
      <c r="JY13" s="108"/>
      <c r="JZ13" s="108"/>
      <c r="KA13" s="108"/>
      <c r="KB13" s="108"/>
      <c r="KC13" s="108"/>
      <c r="KD13" s="108"/>
      <c r="KE13" s="108"/>
      <c r="KF13" s="109"/>
      <c r="KG13" s="110"/>
      <c r="KH13" s="110"/>
      <c r="KI13" s="110"/>
      <c r="KJ13" s="108"/>
      <c r="KK13" s="108"/>
      <c r="KL13" s="108"/>
      <c r="KM13" s="108"/>
      <c r="KN13" s="108"/>
      <c r="KO13" s="108"/>
      <c r="KP13" s="108"/>
      <c r="KQ13" s="108"/>
      <c r="KR13" s="108"/>
      <c r="KS13" s="108"/>
      <c r="KT13" s="108"/>
      <c r="KU13" s="108"/>
      <c r="KV13" s="108"/>
      <c r="KW13" s="108"/>
      <c r="KX13" s="108"/>
      <c r="KY13" s="108"/>
      <c r="KZ13" s="108"/>
      <c r="LA13" s="109"/>
      <c r="LB13" s="110"/>
      <c r="LC13" s="110"/>
      <c r="LD13" s="110"/>
      <c r="LF13" s="122"/>
      <c r="LG13" s="122"/>
      <c r="LH13" s="122"/>
      <c r="LI13" s="122"/>
      <c r="LJ13" s="123"/>
    </row>
    <row r="14" spans="1:533" s="124" customFormat="1" ht="45" customHeight="1" x14ac:dyDescent="0.5">
      <c r="A14" s="108"/>
      <c r="B14" s="108"/>
      <c r="C14" s="108"/>
      <c r="D14" s="108">
        <v>1</v>
      </c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113"/>
      <c r="S14" s="114"/>
      <c r="T14" s="114"/>
      <c r="U14" s="114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8"/>
      <c r="AH14" s="108"/>
      <c r="AI14" s="108"/>
      <c r="AJ14" s="108"/>
      <c r="AK14" s="108"/>
      <c r="AL14" s="108"/>
      <c r="AM14" s="108"/>
      <c r="AN14" s="113"/>
      <c r="AO14" s="114"/>
      <c r="AP14" s="114"/>
      <c r="AQ14" s="114"/>
      <c r="AR14" s="108"/>
      <c r="AS14" s="108"/>
      <c r="AT14" s="108"/>
      <c r="AU14" s="108"/>
      <c r="AV14" s="108"/>
      <c r="AW14" s="108"/>
      <c r="AX14" s="108"/>
      <c r="AY14" s="108"/>
      <c r="AZ14" s="108"/>
      <c r="BA14" s="108"/>
      <c r="BB14" s="108"/>
      <c r="BC14" s="108"/>
      <c r="BD14" s="108"/>
      <c r="BE14" s="108"/>
      <c r="BF14" s="108"/>
      <c r="BG14" s="108"/>
      <c r="BH14" s="108"/>
      <c r="BI14" s="113"/>
      <c r="BJ14" s="114"/>
      <c r="BK14" s="114"/>
      <c r="BL14" s="114"/>
      <c r="BM14" s="108"/>
      <c r="BN14" s="108"/>
      <c r="BO14" s="108"/>
      <c r="BP14" s="108"/>
      <c r="BQ14" s="108"/>
      <c r="BR14" s="108"/>
      <c r="BS14" s="108"/>
      <c r="BT14" s="108"/>
      <c r="BU14" s="108"/>
      <c r="BV14" s="108"/>
      <c r="BW14" s="108"/>
      <c r="BX14" s="108"/>
      <c r="BY14" s="108"/>
      <c r="BZ14" s="108"/>
      <c r="CA14" s="108"/>
      <c r="CB14" s="108"/>
      <c r="CC14" s="108"/>
      <c r="CD14" s="113"/>
      <c r="CE14" s="114"/>
      <c r="CF14" s="114"/>
      <c r="CG14" s="114"/>
      <c r="CH14" s="108"/>
      <c r="CI14" s="108"/>
      <c r="CJ14" s="108"/>
      <c r="CK14" s="108"/>
      <c r="CL14" s="108"/>
      <c r="CM14" s="108"/>
      <c r="CN14" s="108"/>
      <c r="CO14" s="108"/>
      <c r="CP14" s="108"/>
      <c r="CQ14" s="108"/>
      <c r="CR14" s="108"/>
      <c r="CS14" s="108"/>
      <c r="CT14" s="108"/>
      <c r="CU14" s="108"/>
      <c r="CV14" s="108"/>
      <c r="CW14" s="108"/>
      <c r="CX14" s="108"/>
      <c r="CY14" s="113"/>
      <c r="CZ14" s="114"/>
      <c r="DA14" s="114"/>
      <c r="DB14" s="114"/>
      <c r="DC14" s="108"/>
      <c r="DD14" s="108"/>
      <c r="DE14" s="108"/>
      <c r="DF14" s="108"/>
      <c r="DG14" s="108"/>
      <c r="DH14" s="108"/>
      <c r="DI14" s="108"/>
      <c r="DJ14" s="108"/>
      <c r="DK14" s="108"/>
      <c r="DL14" s="108"/>
      <c r="DM14" s="108"/>
      <c r="DN14" s="108"/>
      <c r="DO14" s="108"/>
      <c r="DP14" s="108"/>
      <c r="DQ14" s="108"/>
      <c r="DR14" s="108"/>
      <c r="DS14" s="108"/>
      <c r="DT14" s="113"/>
      <c r="DU14" s="114"/>
      <c r="DV14" s="114"/>
      <c r="DW14" s="114"/>
      <c r="DX14" s="108"/>
      <c r="DY14" s="108"/>
      <c r="DZ14" s="108"/>
      <c r="EA14" s="108"/>
      <c r="EB14" s="108"/>
      <c r="EC14" s="108"/>
      <c r="ED14" s="108"/>
      <c r="EE14" s="108"/>
      <c r="EF14" s="108"/>
      <c r="EG14" s="108"/>
      <c r="EH14" s="108"/>
      <c r="EI14" s="108"/>
      <c r="EJ14" s="108"/>
      <c r="EK14" s="108"/>
      <c r="EL14" s="108"/>
      <c r="EM14" s="108"/>
      <c r="EN14" s="108"/>
      <c r="EO14" s="113"/>
      <c r="EP14" s="114"/>
      <c r="EQ14" s="114"/>
      <c r="ER14" s="114"/>
      <c r="ES14" s="108"/>
      <c r="ET14" s="108"/>
      <c r="EU14" s="108"/>
      <c r="EV14" s="108"/>
      <c r="EW14" s="108"/>
      <c r="EX14" s="108"/>
      <c r="EY14" s="108"/>
      <c r="EZ14" s="108"/>
      <c r="FA14" s="108"/>
      <c r="FB14" s="108"/>
      <c r="FC14" s="108"/>
      <c r="FD14" s="108"/>
      <c r="FE14" s="108"/>
      <c r="FF14" s="108"/>
      <c r="FG14" s="108"/>
      <c r="FH14" s="108"/>
      <c r="FI14" s="108"/>
      <c r="FJ14" s="113"/>
      <c r="FK14" s="114"/>
      <c r="FL14" s="114"/>
      <c r="FM14" s="114"/>
      <c r="FN14" s="108"/>
      <c r="FO14" s="108"/>
      <c r="FP14" s="108"/>
      <c r="FQ14" s="108"/>
      <c r="FR14" s="108"/>
      <c r="FS14" s="108"/>
      <c r="FT14" s="108"/>
      <c r="FU14" s="108"/>
      <c r="FV14" s="108"/>
      <c r="FW14" s="108"/>
      <c r="FX14" s="108"/>
      <c r="FY14" s="108"/>
      <c r="FZ14" s="108"/>
      <c r="GA14" s="108"/>
      <c r="GB14" s="108"/>
      <c r="GC14" s="108"/>
      <c r="GD14" s="108"/>
      <c r="GE14" s="113"/>
      <c r="GF14" s="114"/>
      <c r="GG14" s="114"/>
      <c r="GH14" s="114"/>
      <c r="GI14" s="108"/>
      <c r="GJ14" s="108"/>
      <c r="GK14" s="108"/>
      <c r="GL14" s="108"/>
      <c r="GM14" s="108"/>
      <c r="GN14" s="108"/>
      <c r="GO14" s="108"/>
      <c r="GP14" s="108"/>
      <c r="GQ14" s="108"/>
      <c r="GR14" s="108"/>
      <c r="GS14" s="108"/>
      <c r="GT14" s="108"/>
      <c r="GU14" s="108"/>
      <c r="GV14" s="108"/>
      <c r="GW14" s="108"/>
      <c r="GX14" s="108"/>
      <c r="GY14" s="108"/>
      <c r="GZ14" s="113"/>
      <c r="HA14" s="114"/>
      <c r="HB14" s="114"/>
      <c r="HC14" s="114"/>
      <c r="HD14" s="108"/>
      <c r="HE14" s="108"/>
      <c r="HF14" s="108"/>
      <c r="HG14" s="108"/>
      <c r="HH14" s="108"/>
      <c r="HI14" s="108"/>
      <c r="HJ14" s="108"/>
      <c r="HK14" s="108"/>
      <c r="HL14" s="108"/>
      <c r="HM14" s="108"/>
      <c r="HN14" s="108"/>
      <c r="HO14" s="108"/>
      <c r="HP14" s="108"/>
      <c r="HQ14" s="108"/>
      <c r="HR14" s="108"/>
      <c r="HS14" s="108"/>
      <c r="HT14" s="108"/>
      <c r="HU14" s="113"/>
      <c r="HV14" s="114"/>
      <c r="HW14" s="114"/>
      <c r="HX14" s="114"/>
      <c r="HY14" s="108"/>
      <c r="HZ14" s="108"/>
      <c r="IA14" s="108"/>
      <c r="IB14" s="108"/>
      <c r="IC14" s="108"/>
      <c r="ID14" s="108"/>
      <c r="IE14" s="108"/>
      <c r="IF14" s="108"/>
      <c r="IG14" s="108"/>
      <c r="IH14" s="108"/>
      <c r="II14" s="108"/>
      <c r="IJ14" s="108"/>
      <c r="IK14" s="108"/>
      <c r="IL14" s="108"/>
      <c r="IM14" s="108"/>
      <c r="IN14" s="108"/>
      <c r="IO14" s="108"/>
      <c r="IP14" s="113"/>
      <c r="IQ14" s="114"/>
      <c r="IR14" s="114"/>
      <c r="IS14" s="114"/>
      <c r="IT14" s="108"/>
      <c r="IU14" s="108"/>
      <c r="IV14" s="108"/>
      <c r="IW14" s="108"/>
      <c r="IX14" s="108"/>
      <c r="IY14" s="108"/>
      <c r="IZ14" s="108"/>
      <c r="JA14" s="108"/>
      <c r="JB14" s="108"/>
      <c r="JC14" s="108"/>
      <c r="JD14" s="108"/>
      <c r="JE14" s="108"/>
      <c r="JF14" s="108"/>
      <c r="JG14" s="108"/>
      <c r="JH14" s="108"/>
      <c r="JI14" s="108"/>
      <c r="JJ14" s="108"/>
      <c r="JK14" s="113"/>
      <c r="JL14" s="114"/>
      <c r="JM14" s="114"/>
      <c r="JN14" s="114"/>
      <c r="JO14" s="108"/>
      <c r="JP14" s="108"/>
      <c r="JQ14" s="108"/>
      <c r="JR14" s="108"/>
      <c r="JS14" s="108"/>
      <c r="JT14" s="108"/>
      <c r="JU14" s="108"/>
      <c r="JV14" s="108"/>
      <c r="JW14" s="108"/>
      <c r="JX14" s="108"/>
      <c r="JY14" s="108"/>
      <c r="JZ14" s="108"/>
      <c r="KA14" s="108"/>
      <c r="KB14" s="108"/>
      <c r="KC14" s="108"/>
      <c r="KD14" s="108"/>
      <c r="KE14" s="108"/>
      <c r="KF14" s="113"/>
      <c r="KG14" s="114"/>
      <c r="KH14" s="114"/>
      <c r="KI14" s="114"/>
      <c r="KJ14" s="108"/>
      <c r="KK14" s="108"/>
      <c r="KL14" s="108"/>
      <c r="KM14" s="108"/>
      <c r="KN14" s="108"/>
      <c r="KO14" s="108"/>
      <c r="KP14" s="108"/>
      <c r="KQ14" s="108"/>
      <c r="KR14" s="108"/>
      <c r="KS14" s="108"/>
      <c r="KT14" s="108"/>
      <c r="KU14" s="108"/>
      <c r="KV14" s="108"/>
      <c r="KW14" s="108"/>
      <c r="KX14" s="108"/>
      <c r="KY14" s="108"/>
      <c r="KZ14" s="108"/>
      <c r="LA14" s="113"/>
      <c r="LB14" s="114"/>
      <c r="LC14" s="114"/>
      <c r="LD14" s="114"/>
      <c r="LF14" s="125"/>
      <c r="LG14" s="125"/>
      <c r="LH14" s="125"/>
      <c r="LI14" s="125"/>
      <c r="LJ14" s="126"/>
    </row>
    <row r="15" spans="1:533" s="127" customFormat="1" ht="45" customHeight="1" x14ac:dyDescent="0.5">
      <c r="A15" s="109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  <c r="BC15" s="109"/>
      <c r="BD15" s="109"/>
      <c r="BE15" s="109"/>
      <c r="BF15" s="109"/>
      <c r="BG15" s="109"/>
      <c r="BH15" s="109"/>
      <c r="BI15" s="109"/>
      <c r="BJ15" s="109"/>
      <c r="BK15" s="109"/>
      <c r="BL15" s="109"/>
      <c r="BM15" s="109"/>
      <c r="BN15" s="109"/>
      <c r="BO15" s="109"/>
      <c r="BP15" s="109"/>
      <c r="BQ15" s="109"/>
      <c r="BR15" s="109"/>
      <c r="BS15" s="109"/>
      <c r="BT15" s="109"/>
      <c r="BU15" s="109"/>
      <c r="BV15" s="109"/>
      <c r="BW15" s="109"/>
      <c r="BX15" s="109"/>
      <c r="BY15" s="109"/>
      <c r="BZ15" s="109"/>
      <c r="CA15" s="109"/>
      <c r="CB15" s="109"/>
      <c r="CC15" s="109"/>
      <c r="CD15" s="109"/>
      <c r="CE15" s="109"/>
      <c r="CF15" s="109"/>
      <c r="CG15" s="109"/>
      <c r="CH15" s="109"/>
      <c r="CI15" s="109"/>
      <c r="CJ15" s="109"/>
      <c r="CK15" s="109"/>
      <c r="CL15" s="109"/>
      <c r="CM15" s="109"/>
      <c r="CN15" s="109"/>
      <c r="CO15" s="109"/>
      <c r="CP15" s="109"/>
      <c r="CQ15" s="109"/>
      <c r="CR15" s="109"/>
      <c r="CS15" s="109"/>
      <c r="CT15" s="109"/>
      <c r="CU15" s="109"/>
      <c r="CV15" s="109"/>
      <c r="CW15" s="109"/>
      <c r="CX15" s="109"/>
      <c r="CY15" s="109"/>
      <c r="CZ15" s="109"/>
      <c r="DA15" s="109"/>
      <c r="DB15" s="109"/>
      <c r="DC15" s="109"/>
      <c r="DD15" s="109"/>
      <c r="DE15" s="109"/>
      <c r="DF15" s="109"/>
      <c r="DG15" s="109"/>
      <c r="DH15" s="109"/>
      <c r="DI15" s="109"/>
      <c r="DJ15" s="109"/>
      <c r="DK15" s="109"/>
      <c r="DL15" s="109"/>
      <c r="DM15" s="109"/>
      <c r="DN15" s="109"/>
      <c r="DO15" s="109"/>
      <c r="DP15" s="109"/>
      <c r="DQ15" s="109"/>
      <c r="DR15" s="109"/>
      <c r="DS15" s="109"/>
      <c r="DT15" s="109"/>
      <c r="DU15" s="109"/>
      <c r="DV15" s="109"/>
      <c r="DW15" s="109"/>
      <c r="DX15" s="109"/>
      <c r="DY15" s="109"/>
      <c r="DZ15" s="109"/>
      <c r="EA15" s="109"/>
      <c r="EB15" s="109"/>
      <c r="EC15" s="109"/>
      <c r="ED15" s="109"/>
      <c r="EE15" s="109"/>
      <c r="EF15" s="109"/>
      <c r="EG15" s="109"/>
      <c r="EH15" s="109"/>
      <c r="EI15" s="109"/>
      <c r="EJ15" s="109"/>
      <c r="EK15" s="109"/>
      <c r="EL15" s="109"/>
      <c r="EM15" s="109"/>
      <c r="EN15" s="109"/>
      <c r="EO15" s="109"/>
      <c r="EP15" s="109"/>
      <c r="EQ15" s="109"/>
      <c r="ER15" s="109"/>
      <c r="ES15" s="109"/>
      <c r="ET15" s="109"/>
      <c r="EU15" s="109"/>
      <c r="EV15" s="109"/>
      <c r="EW15" s="109"/>
      <c r="EX15" s="109"/>
      <c r="EY15" s="109"/>
      <c r="EZ15" s="109"/>
      <c r="FA15" s="109"/>
      <c r="FB15" s="109"/>
      <c r="FC15" s="109"/>
      <c r="FD15" s="109"/>
      <c r="FE15" s="109"/>
      <c r="FF15" s="109"/>
      <c r="FG15" s="109"/>
      <c r="FH15" s="109"/>
      <c r="FI15" s="109"/>
      <c r="FJ15" s="109"/>
      <c r="FK15" s="109"/>
      <c r="FL15" s="109"/>
      <c r="FM15" s="109"/>
      <c r="FN15" s="109"/>
      <c r="FO15" s="109"/>
      <c r="FP15" s="109"/>
      <c r="FQ15" s="109"/>
      <c r="FR15" s="109"/>
      <c r="FS15" s="109"/>
      <c r="FT15" s="109"/>
      <c r="FU15" s="109"/>
      <c r="FV15" s="109"/>
      <c r="FW15" s="109"/>
      <c r="FX15" s="109"/>
      <c r="FY15" s="109"/>
      <c r="FZ15" s="109"/>
      <c r="GA15" s="109"/>
      <c r="GB15" s="109"/>
      <c r="GC15" s="109"/>
      <c r="GD15" s="109"/>
      <c r="GE15" s="109"/>
      <c r="GF15" s="109"/>
      <c r="GG15" s="109"/>
      <c r="GH15" s="109"/>
      <c r="GI15" s="109"/>
      <c r="GJ15" s="109"/>
      <c r="GK15" s="109"/>
      <c r="GL15" s="109"/>
      <c r="GM15" s="109"/>
      <c r="GN15" s="109"/>
      <c r="GO15" s="109"/>
      <c r="GP15" s="109"/>
      <c r="GQ15" s="109"/>
      <c r="GR15" s="109"/>
      <c r="GS15" s="109"/>
      <c r="GT15" s="109"/>
      <c r="GU15" s="109"/>
      <c r="GV15" s="109"/>
      <c r="GW15" s="109"/>
      <c r="GX15" s="109"/>
      <c r="GY15" s="109"/>
      <c r="GZ15" s="109"/>
      <c r="HA15" s="109"/>
      <c r="HB15" s="109"/>
      <c r="HC15" s="109"/>
      <c r="HD15" s="109"/>
      <c r="HE15" s="109"/>
      <c r="HF15" s="109"/>
      <c r="HG15" s="109"/>
      <c r="HH15" s="109"/>
      <c r="HI15" s="109"/>
      <c r="HJ15" s="109"/>
      <c r="HK15" s="109"/>
      <c r="HL15" s="109"/>
      <c r="HM15" s="109"/>
      <c r="HN15" s="109"/>
      <c r="HO15" s="109"/>
      <c r="HP15" s="109"/>
      <c r="HQ15" s="109"/>
      <c r="HR15" s="109"/>
      <c r="HS15" s="109"/>
      <c r="HT15" s="109"/>
      <c r="HU15" s="109"/>
      <c r="HV15" s="109"/>
      <c r="HW15" s="109"/>
      <c r="HX15" s="109"/>
      <c r="HY15" s="109"/>
      <c r="HZ15" s="109"/>
      <c r="IA15" s="109"/>
      <c r="IB15" s="109"/>
      <c r="IC15" s="109"/>
      <c r="ID15" s="109"/>
      <c r="IE15" s="109"/>
      <c r="IF15" s="109"/>
      <c r="IG15" s="109"/>
      <c r="IH15" s="109"/>
      <c r="II15" s="109"/>
      <c r="IJ15" s="109"/>
      <c r="IK15" s="109"/>
      <c r="IL15" s="109"/>
      <c r="IM15" s="109"/>
      <c r="IN15" s="109"/>
      <c r="IO15" s="109"/>
      <c r="IP15" s="109"/>
      <c r="IQ15" s="109"/>
      <c r="IR15" s="109"/>
      <c r="IS15" s="109"/>
      <c r="IT15" s="109"/>
      <c r="IU15" s="109"/>
      <c r="IV15" s="109"/>
      <c r="IW15" s="109"/>
      <c r="IX15" s="109"/>
      <c r="IY15" s="109"/>
      <c r="IZ15" s="109"/>
      <c r="JA15" s="109"/>
      <c r="JB15" s="109"/>
      <c r="JC15" s="109"/>
      <c r="JD15" s="109"/>
      <c r="JE15" s="109"/>
      <c r="JF15" s="109"/>
      <c r="JG15" s="109"/>
      <c r="JH15" s="109"/>
      <c r="JI15" s="109"/>
      <c r="JJ15" s="109"/>
      <c r="JK15" s="109"/>
      <c r="JL15" s="109"/>
      <c r="JM15" s="109"/>
      <c r="JN15" s="109"/>
      <c r="JO15" s="109"/>
      <c r="JP15" s="109"/>
      <c r="JQ15" s="109"/>
      <c r="JR15" s="109"/>
      <c r="JS15" s="109"/>
      <c r="JT15" s="109"/>
      <c r="JU15" s="109"/>
      <c r="JV15" s="109"/>
      <c r="JW15" s="109"/>
      <c r="JX15" s="109"/>
      <c r="JY15" s="109"/>
      <c r="JZ15" s="109"/>
      <c r="KA15" s="109"/>
      <c r="KB15" s="109"/>
      <c r="KC15" s="109"/>
      <c r="KD15" s="109"/>
      <c r="KE15" s="109"/>
      <c r="KF15" s="109"/>
      <c r="KG15" s="109"/>
      <c r="KH15" s="109"/>
      <c r="KI15" s="109"/>
      <c r="KJ15" s="109"/>
      <c r="KK15" s="109"/>
      <c r="KL15" s="109"/>
      <c r="KM15" s="109"/>
      <c r="KN15" s="109"/>
      <c r="KO15" s="109"/>
      <c r="KP15" s="109"/>
      <c r="KQ15" s="109"/>
      <c r="KR15" s="109"/>
      <c r="KS15" s="109"/>
      <c r="KT15" s="109"/>
      <c r="KU15" s="109"/>
      <c r="KV15" s="109"/>
      <c r="KW15" s="109"/>
      <c r="KX15" s="109"/>
      <c r="KY15" s="109"/>
      <c r="KZ15" s="109"/>
      <c r="LA15" s="109"/>
      <c r="LB15" s="109"/>
      <c r="LC15" s="109"/>
      <c r="LD15" s="109"/>
      <c r="LF15" s="128"/>
      <c r="LG15" s="128"/>
      <c r="LH15" s="128"/>
      <c r="LI15" s="128"/>
      <c r="LJ15" s="129"/>
    </row>
    <row r="16" spans="1:533" s="130" customFormat="1" ht="45" customHeight="1" x14ac:dyDescent="0.5">
      <c r="A16" s="110"/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1"/>
      <c r="N16" s="111"/>
      <c r="O16" s="111"/>
      <c r="P16" s="111"/>
      <c r="Q16" s="112"/>
      <c r="R16" s="109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1"/>
      <c r="AJ16" s="111"/>
      <c r="AK16" s="111"/>
      <c r="AL16" s="111"/>
      <c r="AM16" s="112"/>
      <c r="AN16" s="109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1"/>
      <c r="BE16" s="111"/>
      <c r="BF16" s="111"/>
      <c r="BG16" s="111"/>
      <c r="BH16" s="112"/>
      <c r="BI16" s="109"/>
      <c r="BJ16" s="110"/>
      <c r="BK16" s="110"/>
      <c r="BL16" s="110"/>
      <c r="BM16" s="110"/>
      <c r="BN16" s="110"/>
      <c r="BO16" s="110"/>
      <c r="BP16" s="110"/>
      <c r="BQ16" s="110"/>
      <c r="BR16" s="110"/>
      <c r="BS16" s="110"/>
      <c r="BT16" s="110"/>
      <c r="BU16" s="110"/>
      <c r="BV16" s="110"/>
      <c r="BW16" s="110"/>
      <c r="BX16" s="110"/>
      <c r="BY16" s="111"/>
      <c r="BZ16" s="111"/>
      <c r="CA16" s="111"/>
      <c r="CB16" s="111"/>
      <c r="CC16" s="112"/>
      <c r="CD16" s="109"/>
      <c r="CE16" s="110"/>
      <c r="CF16" s="110"/>
      <c r="CG16" s="110"/>
      <c r="CH16" s="110"/>
      <c r="CI16" s="110"/>
      <c r="CJ16" s="110"/>
      <c r="CK16" s="110"/>
      <c r="CL16" s="110"/>
      <c r="CM16" s="110"/>
      <c r="CN16" s="110"/>
      <c r="CO16" s="110"/>
      <c r="CP16" s="110"/>
      <c r="CQ16" s="110"/>
      <c r="CR16" s="110"/>
      <c r="CS16" s="110"/>
      <c r="CT16" s="111"/>
      <c r="CU16" s="111"/>
      <c r="CV16" s="111"/>
      <c r="CW16" s="111"/>
      <c r="CX16" s="112"/>
      <c r="CY16" s="109"/>
      <c r="CZ16" s="110"/>
      <c r="DA16" s="110"/>
      <c r="DB16" s="110"/>
      <c r="DC16" s="110"/>
      <c r="DD16" s="110"/>
      <c r="DE16" s="110"/>
      <c r="DF16" s="110"/>
      <c r="DG16" s="110"/>
      <c r="DH16" s="110"/>
      <c r="DI16" s="110"/>
      <c r="DJ16" s="110"/>
      <c r="DK16" s="110"/>
      <c r="DL16" s="110"/>
      <c r="DM16" s="110"/>
      <c r="DN16" s="110"/>
      <c r="DO16" s="111"/>
      <c r="DP16" s="111"/>
      <c r="DQ16" s="111"/>
      <c r="DR16" s="111"/>
      <c r="DS16" s="112"/>
      <c r="DT16" s="109"/>
      <c r="DU16" s="110"/>
      <c r="DV16" s="110"/>
      <c r="DW16" s="110"/>
      <c r="DX16" s="110"/>
      <c r="DY16" s="110"/>
      <c r="DZ16" s="110"/>
      <c r="EA16" s="110"/>
      <c r="EB16" s="110"/>
      <c r="EC16" s="110"/>
      <c r="ED16" s="110"/>
      <c r="EE16" s="110"/>
      <c r="EF16" s="110"/>
      <c r="EG16" s="110"/>
      <c r="EH16" s="110"/>
      <c r="EI16" s="110"/>
      <c r="EJ16" s="111"/>
      <c r="EK16" s="111"/>
      <c r="EL16" s="111"/>
      <c r="EM16" s="111"/>
      <c r="EN16" s="112"/>
      <c r="EO16" s="109"/>
      <c r="EP16" s="110"/>
      <c r="EQ16" s="110"/>
      <c r="ER16" s="110"/>
      <c r="ES16" s="110"/>
      <c r="ET16" s="110"/>
      <c r="EU16" s="110"/>
      <c r="EV16" s="110"/>
      <c r="EW16" s="110"/>
      <c r="EX16" s="110"/>
      <c r="EY16" s="110"/>
      <c r="EZ16" s="110"/>
      <c r="FA16" s="110"/>
      <c r="FB16" s="110"/>
      <c r="FC16" s="110"/>
      <c r="FD16" s="110"/>
      <c r="FE16" s="111"/>
      <c r="FF16" s="111"/>
      <c r="FG16" s="111"/>
      <c r="FH16" s="111"/>
      <c r="FI16" s="112"/>
      <c r="FJ16" s="109"/>
      <c r="FK16" s="110"/>
      <c r="FL16" s="110"/>
      <c r="FM16" s="110"/>
      <c r="FN16" s="110"/>
      <c r="FO16" s="110"/>
      <c r="FP16" s="110"/>
      <c r="FQ16" s="110"/>
      <c r="FR16" s="110"/>
      <c r="FS16" s="110"/>
      <c r="FT16" s="110"/>
      <c r="FU16" s="110"/>
      <c r="FV16" s="110"/>
      <c r="FW16" s="110"/>
      <c r="FX16" s="110"/>
      <c r="FY16" s="110"/>
      <c r="FZ16" s="111"/>
      <c r="GA16" s="111"/>
      <c r="GB16" s="111"/>
      <c r="GC16" s="111"/>
      <c r="GD16" s="112"/>
      <c r="GE16" s="109"/>
      <c r="GF16" s="110"/>
      <c r="GG16" s="110"/>
      <c r="GH16" s="110"/>
      <c r="GI16" s="110"/>
      <c r="GJ16" s="110"/>
      <c r="GK16" s="110"/>
      <c r="GL16" s="110"/>
      <c r="GM16" s="110"/>
      <c r="GN16" s="110"/>
      <c r="GO16" s="110"/>
      <c r="GP16" s="110"/>
      <c r="GQ16" s="110"/>
      <c r="GR16" s="110"/>
      <c r="GS16" s="110"/>
      <c r="GT16" s="110"/>
      <c r="GU16" s="111"/>
      <c r="GV16" s="111"/>
      <c r="GW16" s="111"/>
      <c r="GX16" s="111"/>
      <c r="GY16" s="112"/>
      <c r="GZ16" s="109"/>
      <c r="HA16" s="110"/>
      <c r="HB16" s="110"/>
      <c r="HC16" s="110"/>
      <c r="HD16" s="110"/>
      <c r="HE16" s="110"/>
      <c r="HF16" s="110"/>
      <c r="HG16" s="110"/>
      <c r="HH16" s="110"/>
      <c r="HI16" s="110"/>
      <c r="HJ16" s="110"/>
      <c r="HK16" s="110"/>
      <c r="HL16" s="110"/>
      <c r="HM16" s="110"/>
      <c r="HN16" s="110"/>
      <c r="HO16" s="110"/>
      <c r="HP16" s="111"/>
      <c r="HQ16" s="111"/>
      <c r="HR16" s="111"/>
      <c r="HS16" s="111"/>
      <c r="HT16" s="112"/>
      <c r="HU16" s="109"/>
      <c r="HV16" s="110"/>
      <c r="HW16" s="110"/>
      <c r="HX16" s="110"/>
      <c r="HY16" s="110"/>
      <c r="HZ16" s="110"/>
      <c r="IA16" s="110"/>
      <c r="IB16" s="110"/>
      <c r="IC16" s="110"/>
      <c r="ID16" s="110"/>
      <c r="IE16" s="110"/>
      <c r="IF16" s="110"/>
      <c r="IG16" s="110"/>
      <c r="IH16" s="110"/>
      <c r="II16" s="110"/>
      <c r="IJ16" s="110"/>
      <c r="IK16" s="111"/>
      <c r="IL16" s="111"/>
      <c r="IM16" s="111"/>
      <c r="IN16" s="111"/>
      <c r="IO16" s="112"/>
      <c r="IP16" s="109"/>
      <c r="IQ16" s="110"/>
      <c r="IR16" s="110"/>
      <c r="IS16" s="110"/>
      <c r="IT16" s="110"/>
      <c r="IU16" s="110"/>
      <c r="IV16" s="110"/>
      <c r="IW16" s="110"/>
      <c r="IX16" s="110"/>
      <c r="IY16" s="110"/>
      <c r="IZ16" s="110"/>
      <c r="JA16" s="110"/>
      <c r="JB16" s="110"/>
      <c r="JC16" s="110"/>
      <c r="JD16" s="110"/>
      <c r="JE16" s="110"/>
      <c r="JF16" s="111"/>
      <c r="JG16" s="111"/>
      <c r="JH16" s="111"/>
      <c r="JI16" s="111"/>
      <c r="JJ16" s="112"/>
      <c r="JK16" s="109"/>
      <c r="JL16" s="110"/>
      <c r="JM16" s="110"/>
      <c r="JN16" s="110"/>
      <c r="JO16" s="110"/>
      <c r="JP16" s="110"/>
      <c r="JQ16" s="110"/>
      <c r="JR16" s="110"/>
      <c r="JS16" s="110"/>
      <c r="JT16" s="110"/>
      <c r="JU16" s="110"/>
      <c r="JV16" s="110"/>
      <c r="JW16" s="110"/>
      <c r="JX16" s="110"/>
      <c r="JY16" s="110"/>
      <c r="JZ16" s="110"/>
      <c r="KA16" s="111"/>
      <c r="KB16" s="111"/>
      <c r="KC16" s="111"/>
      <c r="KD16" s="111"/>
      <c r="KE16" s="112"/>
      <c r="KF16" s="109"/>
      <c r="KG16" s="110"/>
      <c r="KH16" s="110"/>
      <c r="KI16" s="110"/>
      <c r="KJ16" s="110"/>
      <c r="KK16" s="110"/>
      <c r="KL16" s="110"/>
      <c r="KM16" s="110"/>
      <c r="KN16" s="110"/>
      <c r="KO16" s="110"/>
      <c r="KP16" s="110"/>
      <c r="KQ16" s="110"/>
      <c r="KR16" s="110"/>
      <c r="KS16" s="110"/>
      <c r="KT16" s="110"/>
      <c r="KU16" s="110"/>
      <c r="KV16" s="111"/>
      <c r="KW16" s="111"/>
      <c r="KX16" s="111"/>
      <c r="KY16" s="111"/>
      <c r="KZ16" s="112"/>
      <c r="LA16" s="109"/>
      <c r="LB16" s="110"/>
      <c r="LC16" s="110"/>
      <c r="LD16" s="110"/>
      <c r="LF16" s="131"/>
      <c r="LG16" s="131"/>
      <c r="LH16" s="131"/>
      <c r="LI16" s="131"/>
      <c r="LJ16" s="132"/>
    </row>
    <row r="17" spans="1:322" s="133" customFormat="1" ht="45" customHeight="1" x14ac:dyDescent="0.5">
      <c r="A17" s="110"/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1"/>
      <c r="N17" s="111"/>
      <c r="O17" s="111"/>
      <c r="P17" s="111"/>
      <c r="Q17" s="112"/>
      <c r="R17" s="109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1"/>
      <c r="AJ17" s="111"/>
      <c r="AK17" s="111"/>
      <c r="AL17" s="111"/>
      <c r="AM17" s="112"/>
      <c r="AN17" s="109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/>
      <c r="AZ17" s="110"/>
      <c r="BA17" s="110"/>
      <c r="BB17" s="110"/>
      <c r="BC17" s="110"/>
      <c r="BD17" s="111"/>
      <c r="BE17" s="111"/>
      <c r="BF17" s="111"/>
      <c r="BG17" s="111"/>
      <c r="BH17" s="112"/>
      <c r="BI17" s="109"/>
      <c r="BJ17" s="110"/>
      <c r="BK17" s="110"/>
      <c r="BL17" s="110"/>
      <c r="BM17" s="110"/>
      <c r="BN17" s="110"/>
      <c r="BO17" s="110"/>
      <c r="BP17" s="110"/>
      <c r="BQ17" s="110"/>
      <c r="BR17" s="110"/>
      <c r="BS17" s="110"/>
      <c r="BT17" s="110"/>
      <c r="BU17" s="110"/>
      <c r="BV17" s="110"/>
      <c r="BW17" s="110"/>
      <c r="BX17" s="110"/>
      <c r="BY17" s="111"/>
      <c r="BZ17" s="111"/>
      <c r="CA17" s="111"/>
      <c r="CB17" s="111"/>
      <c r="CC17" s="112"/>
      <c r="CD17" s="109"/>
      <c r="CE17" s="110"/>
      <c r="CF17" s="110"/>
      <c r="CG17" s="110"/>
      <c r="CH17" s="110"/>
      <c r="CI17" s="110"/>
      <c r="CJ17" s="110"/>
      <c r="CK17" s="110"/>
      <c r="CL17" s="110"/>
      <c r="CM17" s="110"/>
      <c r="CN17" s="110"/>
      <c r="CO17" s="110"/>
      <c r="CP17" s="110"/>
      <c r="CQ17" s="110"/>
      <c r="CR17" s="110"/>
      <c r="CS17" s="110"/>
      <c r="CT17" s="111"/>
      <c r="CU17" s="111"/>
      <c r="CV17" s="111"/>
      <c r="CW17" s="111"/>
      <c r="CX17" s="112"/>
      <c r="CY17" s="109"/>
      <c r="CZ17" s="110"/>
      <c r="DA17" s="110"/>
      <c r="DB17" s="110"/>
      <c r="DC17" s="110"/>
      <c r="DD17" s="110"/>
      <c r="DE17" s="110"/>
      <c r="DF17" s="110"/>
      <c r="DG17" s="110"/>
      <c r="DH17" s="110"/>
      <c r="DI17" s="110"/>
      <c r="DJ17" s="110"/>
      <c r="DK17" s="110"/>
      <c r="DL17" s="110"/>
      <c r="DM17" s="110"/>
      <c r="DN17" s="110"/>
      <c r="DO17" s="111"/>
      <c r="DP17" s="111"/>
      <c r="DQ17" s="111"/>
      <c r="DR17" s="111"/>
      <c r="DS17" s="112"/>
      <c r="DT17" s="109"/>
      <c r="DU17" s="110"/>
      <c r="DV17" s="110"/>
      <c r="DW17" s="110"/>
      <c r="DX17" s="110"/>
      <c r="DY17" s="110"/>
      <c r="DZ17" s="110"/>
      <c r="EA17" s="110"/>
      <c r="EB17" s="110"/>
      <c r="EC17" s="110"/>
      <c r="ED17" s="110"/>
      <c r="EE17" s="110"/>
      <c r="EF17" s="110"/>
      <c r="EG17" s="110"/>
      <c r="EH17" s="110"/>
      <c r="EI17" s="110"/>
      <c r="EJ17" s="111"/>
      <c r="EK17" s="111"/>
      <c r="EL17" s="111"/>
      <c r="EM17" s="111"/>
      <c r="EN17" s="112"/>
      <c r="EO17" s="109"/>
      <c r="EP17" s="110"/>
      <c r="EQ17" s="110"/>
      <c r="ER17" s="110"/>
      <c r="ES17" s="110"/>
      <c r="ET17" s="110"/>
      <c r="EU17" s="110"/>
      <c r="EV17" s="110"/>
      <c r="EW17" s="110"/>
      <c r="EX17" s="110"/>
      <c r="EY17" s="110"/>
      <c r="EZ17" s="110"/>
      <c r="FA17" s="110"/>
      <c r="FB17" s="110"/>
      <c r="FC17" s="110"/>
      <c r="FD17" s="110"/>
      <c r="FE17" s="111"/>
      <c r="FF17" s="111"/>
      <c r="FG17" s="111"/>
      <c r="FH17" s="111"/>
      <c r="FI17" s="112"/>
      <c r="FJ17" s="109"/>
      <c r="FK17" s="110"/>
      <c r="FL17" s="110"/>
      <c r="FM17" s="110"/>
      <c r="FN17" s="110"/>
      <c r="FO17" s="110"/>
      <c r="FP17" s="110"/>
      <c r="FQ17" s="110"/>
      <c r="FR17" s="110"/>
      <c r="FS17" s="110"/>
      <c r="FT17" s="110"/>
      <c r="FU17" s="110"/>
      <c r="FV17" s="110"/>
      <c r="FW17" s="110"/>
      <c r="FX17" s="110"/>
      <c r="FY17" s="110"/>
      <c r="FZ17" s="111"/>
      <c r="GA17" s="111"/>
      <c r="GB17" s="111"/>
      <c r="GC17" s="111"/>
      <c r="GD17" s="112"/>
      <c r="GE17" s="109"/>
      <c r="GF17" s="110"/>
      <c r="GG17" s="110"/>
      <c r="GH17" s="110"/>
      <c r="GI17" s="110"/>
      <c r="GJ17" s="110"/>
      <c r="GK17" s="110"/>
      <c r="GL17" s="110"/>
      <c r="GM17" s="110"/>
      <c r="GN17" s="110"/>
      <c r="GO17" s="110"/>
      <c r="GP17" s="110"/>
      <c r="GQ17" s="110"/>
      <c r="GR17" s="110"/>
      <c r="GS17" s="110"/>
      <c r="GT17" s="110"/>
      <c r="GU17" s="111"/>
      <c r="GV17" s="111"/>
      <c r="GW17" s="111"/>
      <c r="GX17" s="111"/>
      <c r="GY17" s="112"/>
      <c r="GZ17" s="109"/>
      <c r="HA17" s="110"/>
      <c r="HB17" s="110"/>
      <c r="HC17" s="110"/>
      <c r="HD17" s="110"/>
      <c r="HE17" s="110"/>
      <c r="HF17" s="110"/>
      <c r="HG17" s="110"/>
      <c r="HH17" s="110"/>
      <c r="HI17" s="110"/>
      <c r="HJ17" s="110"/>
      <c r="HK17" s="110"/>
      <c r="HL17" s="110"/>
      <c r="HM17" s="110"/>
      <c r="HN17" s="110"/>
      <c r="HO17" s="110"/>
      <c r="HP17" s="111"/>
      <c r="HQ17" s="111"/>
      <c r="HR17" s="111"/>
      <c r="HS17" s="111"/>
      <c r="HT17" s="112"/>
      <c r="HU17" s="109"/>
      <c r="HV17" s="110"/>
      <c r="HW17" s="110"/>
      <c r="HX17" s="110"/>
      <c r="HY17" s="110"/>
      <c r="HZ17" s="110"/>
      <c r="IA17" s="110"/>
      <c r="IB17" s="110"/>
      <c r="IC17" s="110"/>
      <c r="ID17" s="110"/>
      <c r="IE17" s="110"/>
      <c r="IF17" s="110"/>
      <c r="IG17" s="110"/>
      <c r="IH17" s="110"/>
      <c r="II17" s="110"/>
      <c r="IJ17" s="110"/>
      <c r="IK17" s="111"/>
      <c r="IL17" s="111"/>
      <c r="IM17" s="111"/>
      <c r="IN17" s="111"/>
      <c r="IO17" s="112"/>
      <c r="IP17" s="109"/>
      <c r="IQ17" s="110"/>
      <c r="IR17" s="110"/>
      <c r="IS17" s="110"/>
      <c r="IT17" s="110"/>
      <c r="IU17" s="110"/>
      <c r="IV17" s="110"/>
      <c r="IW17" s="110"/>
      <c r="IX17" s="110"/>
      <c r="IY17" s="110"/>
      <c r="IZ17" s="110"/>
      <c r="JA17" s="110"/>
      <c r="JB17" s="110"/>
      <c r="JC17" s="110"/>
      <c r="JD17" s="110"/>
      <c r="JE17" s="110"/>
      <c r="JF17" s="111"/>
      <c r="JG17" s="111"/>
      <c r="JH17" s="111"/>
      <c r="JI17" s="111"/>
      <c r="JJ17" s="112"/>
      <c r="JK17" s="109"/>
      <c r="JL17" s="110"/>
      <c r="JM17" s="110"/>
      <c r="JN17" s="110"/>
      <c r="JO17" s="110"/>
      <c r="JP17" s="110"/>
      <c r="JQ17" s="110"/>
      <c r="JR17" s="110"/>
      <c r="JS17" s="110"/>
      <c r="JT17" s="110"/>
      <c r="JU17" s="110"/>
      <c r="JV17" s="110"/>
      <c r="JW17" s="110"/>
      <c r="JX17" s="110"/>
      <c r="JY17" s="110"/>
      <c r="JZ17" s="110"/>
      <c r="KA17" s="111"/>
      <c r="KB17" s="111"/>
      <c r="KC17" s="111"/>
      <c r="KD17" s="111"/>
      <c r="KE17" s="112"/>
      <c r="KF17" s="109"/>
      <c r="KG17" s="110"/>
      <c r="KH17" s="110"/>
      <c r="KI17" s="110"/>
      <c r="KJ17" s="110"/>
      <c r="KK17" s="110"/>
      <c r="KL17" s="110"/>
      <c r="KM17" s="110"/>
      <c r="KN17" s="110"/>
      <c r="KO17" s="110"/>
      <c r="KP17" s="110"/>
      <c r="KQ17" s="110"/>
      <c r="KR17" s="110"/>
      <c r="KS17" s="110"/>
      <c r="KT17" s="110"/>
      <c r="KU17" s="110"/>
      <c r="KV17" s="111"/>
      <c r="KW17" s="111"/>
      <c r="KX17" s="111"/>
      <c r="KY17" s="111"/>
      <c r="KZ17" s="112"/>
      <c r="LA17" s="109"/>
      <c r="LB17" s="110"/>
      <c r="LC17" s="110"/>
      <c r="LD17" s="110"/>
      <c r="LF17" s="134"/>
      <c r="LG17" s="134"/>
      <c r="LH17" s="134"/>
      <c r="LI17" s="134"/>
      <c r="LJ17" s="135"/>
    </row>
    <row r="18" spans="1:322" s="136" customFormat="1" ht="45" customHeight="1" x14ac:dyDescent="0.5">
      <c r="A18" s="110"/>
      <c r="B18" s="110"/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1"/>
      <c r="N18" s="111"/>
      <c r="O18" s="111"/>
      <c r="P18" s="111"/>
      <c r="Q18" s="112"/>
      <c r="R18" s="109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1"/>
      <c r="AJ18" s="111"/>
      <c r="AK18" s="111"/>
      <c r="AL18" s="111"/>
      <c r="AM18" s="112"/>
      <c r="AN18" s="109"/>
      <c r="AO18" s="110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0"/>
      <c r="BB18" s="110"/>
      <c r="BC18" s="110"/>
      <c r="BD18" s="111"/>
      <c r="BE18" s="111"/>
      <c r="BF18" s="111"/>
      <c r="BG18" s="111"/>
      <c r="BH18" s="112"/>
      <c r="BI18" s="109"/>
      <c r="BJ18" s="110"/>
      <c r="BK18" s="110"/>
      <c r="BL18" s="110"/>
      <c r="BM18" s="110"/>
      <c r="BN18" s="110"/>
      <c r="BO18" s="110"/>
      <c r="BP18" s="110"/>
      <c r="BQ18" s="110"/>
      <c r="BR18" s="110"/>
      <c r="BS18" s="110"/>
      <c r="BT18" s="110"/>
      <c r="BU18" s="110"/>
      <c r="BV18" s="110"/>
      <c r="BW18" s="110"/>
      <c r="BX18" s="110"/>
      <c r="BY18" s="111"/>
      <c r="BZ18" s="111"/>
      <c r="CA18" s="111"/>
      <c r="CB18" s="111"/>
      <c r="CC18" s="112"/>
      <c r="CD18" s="109"/>
      <c r="CE18" s="110"/>
      <c r="CF18" s="110"/>
      <c r="CG18" s="110"/>
      <c r="CH18" s="110"/>
      <c r="CI18" s="110"/>
      <c r="CJ18" s="110"/>
      <c r="CK18" s="110"/>
      <c r="CL18" s="110"/>
      <c r="CM18" s="110"/>
      <c r="CN18" s="110"/>
      <c r="CO18" s="110"/>
      <c r="CP18" s="110"/>
      <c r="CQ18" s="110"/>
      <c r="CR18" s="110"/>
      <c r="CS18" s="110"/>
      <c r="CT18" s="111"/>
      <c r="CU18" s="111"/>
      <c r="CV18" s="111"/>
      <c r="CW18" s="111"/>
      <c r="CX18" s="112"/>
      <c r="CY18" s="109"/>
      <c r="CZ18" s="110"/>
      <c r="DA18" s="110"/>
      <c r="DB18" s="110"/>
      <c r="DC18" s="110"/>
      <c r="DD18" s="110"/>
      <c r="DE18" s="110"/>
      <c r="DF18" s="110"/>
      <c r="DG18" s="110"/>
      <c r="DH18" s="110"/>
      <c r="DI18" s="110"/>
      <c r="DJ18" s="110"/>
      <c r="DK18" s="110"/>
      <c r="DL18" s="110"/>
      <c r="DM18" s="110"/>
      <c r="DN18" s="110"/>
      <c r="DO18" s="111"/>
      <c r="DP18" s="111"/>
      <c r="DQ18" s="111"/>
      <c r="DR18" s="111"/>
      <c r="DS18" s="112"/>
      <c r="DT18" s="109"/>
      <c r="DU18" s="110"/>
      <c r="DV18" s="110"/>
      <c r="DW18" s="110"/>
      <c r="DX18" s="110"/>
      <c r="DY18" s="110"/>
      <c r="DZ18" s="110"/>
      <c r="EA18" s="110"/>
      <c r="EB18" s="110"/>
      <c r="EC18" s="110"/>
      <c r="ED18" s="110"/>
      <c r="EE18" s="110"/>
      <c r="EF18" s="110"/>
      <c r="EG18" s="110"/>
      <c r="EH18" s="110"/>
      <c r="EI18" s="110"/>
      <c r="EJ18" s="111"/>
      <c r="EK18" s="111"/>
      <c r="EL18" s="111"/>
      <c r="EM18" s="111"/>
      <c r="EN18" s="112"/>
      <c r="EO18" s="109"/>
      <c r="EP18" s="110"/>
      <c r="EQ18" s="110"/>
      <c r="ER18" s="110"/>
      <c r="ES18" s="110"/>
      <c r="ET18" s="110"/>
      <c r="EU18" s="110"/>
      <c r="EV18" s="110"/>
      <c r="EW18" s="110"/>
      <c r="EX18" s="110"/>
      <c r="EY18" s="110"/>
      <c r="EZ18" s="110"/>
      <c r="FA18" s="110"/>
      <c r="FB18" s="110"/>
      <c r="FC18" s="110"/>
      <c r="FD18" s="110"/>
      <c r="FE18" s="111"/>
      <c r="FF18" s="111"/>
      <c r="FG18" s="111"/>
      <c r="FH18" s="111"/>
      <c r="FI18" s="112"/>
      <c r="FJ18" s="109"/>
      <c r="FK18" s="110"/>
      <c r="FL18" s="110"/>
      <c r="FM18" s="110"/>
      <c r="FN18" s="110"/>
      <c r="FO18" s="110"/>
      <c r="FP18" s="110"/>
      <c r="FQ18" s="110"/>
      <c r="FR18" s="110"/>
      <c r="FS18" s="110"/>
      <c r="FT18" s="110"/>
      <c r="FU18" s="110"/>
      <c r="FV18" s="110"/>
      <c r="FW18" s="110"/>
      <c r="FX18" s="110"/>
      <c r="FY18" s="110"/>
      <c r="FZ18" s="111"/>
      <c r="GA18" s="111"/>
      <c r="GB18" s="111"/>
      <c r="GC18" s="111"/>
      <c r="GD18" s="112"/>
      <c r="GE18" s="109"/>
      <c r="GF18" s="110"/>
      <c r="GG18" s="110"/>
      <c r="GH18" s="110"/>
      <c r="GI18" s="110"/>
      <c r="GJ18" s="110"/>
      <c r="GK18" s="110"/>
      <c r="GL18" s="110"/>
      <c r="GM18" s="110"/>
      <c r="GN18" s="110"/>
      <c r="GO18" s="110"/>
      <c r="GP18" s="110"/>
      <c r="GQ18" s="110"/>
      <c r="GR18" s="110"/>
      <c r="GS18" s="110"/>
      <c r="GT18" s="110"/>
      <c r="GU18" s="111"/>
      <c r="GV18" s="111"/>
      <c r="GW18" s="111"/>
      <c r="GX18" s="111"/>
      <c r="GY18" s="112"/>
      <c r="GZ18" s="109"/>
      <c r="HA18" s="110"/>
      <c r="HB18" s="110"/>
      <c r="HC18" s="110"/>
      <c r="HD18" s="110"/>
      <c r="HE18" s="110"/>
      <c r="HF18" s="110"/>
      <c r="HG18" s="110"/>
      <c r="HH18" s="110"/>
      <c r="HI18" s="110"/>
      <c r="HJ18" s="110"/>
      <c r="HK18" s="110"/>
      <c r="HL18" s="110"/>
      <c r="HM18" s="110"/>
      <c r="HN18" s="110"/>
      <c r="HO18" s="110"/>
      <c r="HP18" s="111"/>
      <c r="HQ18" s="111"/>
      <c r="HR18" s="111"/>
      <c r="HS18" s="111"/>
      <c r="HT18" s="112"/>
      <c r="HU18" s="109"/>
      <c r="HV18" s="110"/>
      <c r="HW18" s="110"/>
      <c r="HX18" s="110"/>
      <c r="HY18" s="110"/>
      <c r="HZ18" s="110"/>
      <c r="IA18" s="110"/>
      <c r="IB18" s="110"/>
      <c r="IC18" s="110"/>
      <c r="ID18" s="110"/>
      <c r="IE18" s="110"/>
      <c r="IF18" s="110"/>
      <c r="IG18" s="110"/>
      <c r="IH18" s="110"/>
      <c r="II18" s="110"/>
      <c r="IJ18" s="110"/>
      <c r="IK18" s="111"/>
      <c r="IL18" s="111"/>
      <c r="IM18" s="111"/>
      <c r="IN18" s="111"/>
      <c r="IO18" s="112"/>
      <c r="IP18" s="109"/>
      <c r="IQ18" s="110"/>
      <c r="IR18" s="110"/>
      <c r="IS18" s="110"/>
      <c r="IT18" s="110"/>
      <c r="IU18" s="110"/>
      <c r="IV18" s="110"/>
      <c r="IW18" s="110"/>
      <c r="IX18" s="110"/>
      <c r="IY18" s="110"/>
      <c r="IZ18" s="110"/>
      <c r="JA18" s="110"/>
      <c r="JB18" s="110"/>
      <c r="JC18" s="110"/>
      <c r="JD18" s="110"/>
      <c r="JE18" s="110"/>
      <c r="JF18" s="111"/>
      <c r="JG18" s="111"/>
      <c r="JH18" s="111"/>
      <c r="JI18" s="111"/>
      <c r="JJ18" s="112"/>
      <c r="JK18" s="109"/>
      <c r="JL18" s="110"/>
      <c r="JM18" s="110"/>
      <c r="JN18" s="110"/>
      <c r="JO18" s="110"/>
      <c r="JP18" s="110"/>
      <c r="JQ18" s="110"/>
      <c r="JR18" s="110"/>
      <c r="JS18" s="110"/>
      <c r="JT18" s="110"/>
      <c r="JU18" s="110"/>
      <c r="JV18" s="110"/>
      <c r="JW18" s="110"/>
      <c r="JX18" s="110"/>
      <c r="JY18" s="110"/>
      <c r="JZ18" s="110"/>
      <c r="KA18" s="111"/>
      <c r="KB18" s="111"/>
      <c r="KC18" s="111"/>
      <c r="KD18" s="111"/>
      <c r="KE18" s="112"/>
      <c r="KF18" s="109"/>
      <c r="KG18" s="110"/>
      <c r="KH18" s="110"/>
      <c r="KI18" s="110"/>
      <c r="KJ18" s="110"/>
      <c r="KK18" s="110"/>
      <c r="KL18" s="110"/>
      <c r="KM18" s="110"/>
      <c r="KN18" s="110"/>
      <c r="KO18" s="110"/>
      <c r="KP18" s="110"/>
      <c r="KQ18" s="110"/>
      <c r="KR18" s="110"/>
      <c r="KS18" s="110"/>
      <c r="KT18" s="110"/>
      <c r="KU18" s="110"/>
      <c r="KV18" s="111"/>
      <c r="KW18" s="111"/>
      <c r="KX18" s="111"/>
      <c r="KY18" s="111"/>
      <c r="KZ18" s="112"/>
      <c r="LA18" s="109"/>
      <c r="LB18" s="110"/>
      <c r="LC18" s="110"/>
      <c r="LD18" s="110"/>
      <c r="LF18" s="137"/>
      <c r="LG18" s="137"/>
      <c r="LH18" s="137"/>
      <c r="LI18" s="137"/>
      <c r="LJ18" s="138"/>
    </row>
    <row r="19" spans="1:322" s="139" customFormat="1" ht="45" customHeight="1" x14ac:dyDescent="0.5">
      <c r="A19" s="110"/>
      <c r="B19" s="110"/>
      <c r="C19" s="110"/>
      <c r="D19" s="110"/>
      <c r="E19" s="110"/>
      <c r="F19" s="110"/>
      <c r="G19" s="110"/>
      <c r="H19" s="110"/>
      <c r="I19" s="110"/>
      <c r="J19" s="110"/>
      <c r="K19" s="110" t="s">
        <v>72</v>
      </c>
      <c r="L19" s="110"/>
      <c r="M19" s="111"/>
      <c r="N19" s="111"/>
      <c r="O19" s="111"/>
      <c r="P19" s="111"/>
      <c r="Q19" s="112"/>
      <c r="R19" s="109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1"/>
      <c r="AJ19" s="111"/>
      <c r="AK19" s="111"/>
      <c r="AL19" s="111"/>
      <c r="AM19" s="112"/>
      <c r="AN19" s="109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  <c r="AZ19" s="110"/>
      <c r="BA19" s="110"/>
      <c r="BB19" s="110"/>
      <c r="BC19" s="110"/>
      <c r="BD19" s="111"/>
      <c r="BE19" s="111"/>
      <c r="BF19" s="111"/>
      <c r="BG19" s="111"/>
      <c r="BH19" s="112"/>
      <c r="BI19" s="109"/>
      <c r="BJ19" s="110"/>
      <c r="BK19" s="110"/>
      <c r="BL19" s="110"/>
      <c r="BM19" s="110"/>
      <c r="BN19" s="110"/>
      <c r="BO19" s="110"/>
      <c r="BP19" s="110"/>
      <c r="BQ19" s="110"/>
      <c r="BR19" s="110"/>
      <c r="BS19" s="110"/>
      <c r="BT19" s="110"/>
      <c r="BU19" s="110"/>
      <c r="BV19" s="110"/>
      <c r="BW19" s="110"/>
      <c r="BX19" s="110"/>
      <c r="BY19" s="111"/>
      <c r="BZ19" s="111"/>
      <c r="CA19" s="111"/>
      <c r="CB19" s="111"/>
      <c r="CC19" s="112"/>
      <c r="CD19" s="109"/>
      <c r="CE19" s="110"/>
      <c r="CF19" s="110"/>
      <c r="CG19" s="110"/>
      <c r="CH19" s="110"/>
      <c r="CI19" s="110"/>
      <c r="CJ19" s="110"/>
      <c r="CK19" s="110"/>
      <c r="CL19" s="110"/>
      <c r="CM19" s="110"/>
      <c r="CN19" s="110"/>
      <c r="CO19" s="110"/>
      <c r="CP19" s="110"/>
      <c r="CQ19" s="110"/>
      <c r="CR19" s="110"/>
      <c r="CS19" s="110"/>
      <c r="CT19" s="111"/>
      <c r="CU19" s="111"/>
      <c r="CV19" s="111"/>
      <c r="CW19" s="111"/>
      <c r="CX19" s="112"/>
      <c r="CY19" s="109"/>
      <c r="CZ19" s="110"/>
      <c r="DA19" s="110"/>
      <c r="DB19" s="110"/>
      <c r="DC19" s="110"/>
      <c r="DD19" s="110"/>
      <c r="DE19" s="110"/>
      <c r="DF19" s="110"/>
      <c r="DG19" s="110"/>
      <c r="DH19" s="110"/>
      <c r="DI19" s="110"/>
      <c r="DJ19" s="110"/>
      <c r="DK19" s="110"/>
      <c r="DL19" s="110"/>
      <c r="DM19" s="110"/>
      <c r="DN19" s="110"/>
      <c r="DO19" s="111"/>
      <c r="DP19" s="111"/>
      <c r="DQ19" s="111"/>
      <c r="DR19" s="111"/>
      <c r="DS19" s="112"/>
      <c r="DT19" s="109"/>
      <c r="DU19" s="110"/>
      <c r="DV19" s="110"/>
      <c r="DW19" s="110"/>
      <c r="DX19" s="110"/>
      <c r="DY19" s="110"/>
      <c r="DZ19" s="110"/>
      <c r="EA19" s="110"/>
      <c r="EB19" s="110"/>
      <c r="EC19" s="110"/>
      <c r="ED19" s="110"/>
      <c r="EE19" s="110"/>
      <c r="EF19" s="110"/>
      <c r="EG19" s="110"/>
      <c r="EH19" s="110"/>
      <c r="EI19" s="110"/>
      <c r="EJ19" s="111"/>
      <c r="EK19" s="111"/>
      <c r="EL19" s="111"/>
      <c r="EM19" s="111"/>
      <c r="EN19" s="112"/>
      <c r="EO19" s="109"/>
      <c r="EP19" s="110"/>
      <c r="EQ19" s="110"/>
      <c r="ER19" s="110"/>
      <c r="ES19" s="110"/>
      <c r="ET19" s="110"/>
      <c r="EU19" s="110"/>
      <c r="EV19" s="110"/>
      <c r="EW19" s="110"/>
      <c r="EX19" s="110"/>
      <c r="EY19" s="110"/>
      <c r="EZ19" s="110"/>
      <c r="FA19" s="110"/>
      <c r="FB19" s="110"/>
      <c r="FC19" s="110"/>
      <c r="FD19" s="110"/>
      <c r="FE19" s="111"/>
      <c r="FF19" s="111"/>
      <c r="FG19" s="111"/>
      <c r="FH19" s="111"/>
      <c r="FI19" s="112"/>
      <c r="FJ19" s="109"/>
      <c r="FK19" s="110"/>
      <c r="FL19" s="110"/>
      <c r="FM19" s="110"/>
      <c r="FN19" s="110"/>
      <c r="FO19" s="110"/>
      <c r="FP19" s="110"/>
      <c r="FQ19" s="110"/>
      <c r="FR19" s="110"/>
      <c r="FS19" s="110"/>
      <c r="FT19" s="110"/>
      <c r="FU19" s="110"/>
      <c r="FV19" s="110"/>
      <c r="FW19" s="110"/>
      <c r="FX19" s="110"/>
      <c r="FY19" s="110"/>
      <c r="FZ19" s="111"/>
      <c r="GA19" s="111"/>
      <c r="GB19" s="111"/>
      <c r="GC19" s="111"/>
      <c r="GD19" s="112"/>
      <c r="GE19" s="109"/>
      <c r="GF19" s="110"/>
      <c r="GG19" s="110"/>
      <c r="GH19" s="110"/>
      <c r="GI19" s="110"/>
      <c r="GJ19" s="110"/>
      <c r="GK19" s="110"/>
      <c r="GL19" s="110"/>
      <c r="GM19" s="110"/>
      <c r="GN19" s="110"/>
      <c r="GO19" s="110"/>
      <c r="GP19" s="110"/>
      <c r="GQ19" s="110"/>
      <c r="GR19" s="110"/>
      <c r="GS19" s="110"/>
      <c r="GT19" s="110"/>
      <c r="GU19" s="111"/>
      <c r="GV19" s="111"/>
      <c r="GW19" s="111"/>
      <c r="GX19" s="111"/>
      <c r="GY19" s="112"/>
      <c r="GZ19" s="109"/>
      <c r="HA19" s="110"/>
      <c r="HB19" s="110"/>
      <c r="HC19" s="110"/>
      <c r="HD19" s="110"/>
      <c r="HE19" s="110"/>
      <c r="HF19" s="110"/>
      <c r="HG19" s="110"/>
      <c r="HH19" s="110"/>
      <c r="HI19" s="110"/>
      <c r="HJ19" s="110"/>
      <c r="HK19" s="110"/>
      <c r="HL19" s="110"/>
      <c r="HM19" s="110"/>
      <c r="HN19" s="110"/>
      <c r="HO19" s="110"/>
      <c r="HP19" s="111"/>
      <c r="HQ19" s="111"/>
      <c r="HR19" s="111"/>
      <c r="HS19" s="111"/>
      <c r="HT19" s="112"/>
      <c r="HU19" s="109"/>
      <c r="HV19" s="110"/>
      <c r="HW19" s="110"/>
      <c r="HX19" s="110"/>
      <c r="HY19" s="110"/>
      <c r="HZ19" s="110"/>
      <c r="IA19" s="110"/>
      <c r="IB19" s="110"/>
      <c r="IC19" s="110"/>
      <c r="ID19" s="110"/>
      <c r="IE19" s="110"/>
      <c r="IF19" s="110"/>
      <c r="IG19" s="110"/>
      <c r="IH19" s="110"/>
      <c r="II19" s="110"/>
      <c r="IJ19" s="110"/>
      <c r="IK19" s="111"/>
      <c r="IL19" s="111"/>
      <c r="IM19" s="111"/>
      <c r="IN19" s="111"/>
      <c r="IO19" s="112"/>
      <c r="IP19" s="109"/>
      <c r="IQ19" s="110"/>
      <c r="IR19" s="110"/>
      <c r="IS19" s="110"/>
      <c r="IT19" s="110"/>
      <c r="IU19" s="110"/>
      <c r="IV19" s="110"/>
      <c r="IW19" s="110"/>
      <c r="IX19" s="110"/>
      <c r="IY19" s="110"/>
      <c r="IZ19" s="110"/>
      <c r="JA19" s="110"/>
      <c r="JB19" s="110"/>
      <c r="JC19" s="110"/>
      <c r="JD19" s="110"/>
      <c r="JE19" s="110"/>
      <c r="JF19" s="111"/>
      <c r="JG19" s="111"/>
      <c r="JH19" s="111"/>
      <c r="JI19" s="111"/>
      <c r="JJ19" s="112"/>
      <c r="JK19" s="109"/>
      <c r="JL19" s="110"/>
      <c r="JM19" s="110"/>
      <c r="JN19" s="110"/>
      <c r="JO19" s="110"/>
      <c r="JP19" s="110"/>
      <c r="JQ19" s="110"/>
      <c r="JR19" s="110"/>
      <c r="JS19" s="110"/>
      <c r="JT19" s="110"/>
      <c r="JU19" s="110"/>
      <c r="JV19" s="110"/>
      <c r="JW19" s="110"/>
      <c r="JX19" s="110"/>
      <c r="JY19" s="110"/>
      <c r="JZ19" s="110"/>
      <c r="KA19" s="111"/>
      <c r="KB19" s="111"/>
      <c r="KC19" s="111"/>
      <c r="KD19" s="111"/>
      <c r="KE19" s="112"/>
      <c r="KF19" s="109"/>
      <c r="KG19" s="110"/>
      <c r="KH19" s="110"/>
      <c r="KI19" s="110"/>
      <c r="KJ19" s="110"/>
      <c r="KK19" s="110"/>
      <c r="KL19" s="110"/>
      <c r="KM19" s="110"/>
      <c r="KN19" s="110"/>
      <c r="KO19" s="110"/>
      <c r="KP19" s="110"/>
      <c r="KQ19" s="110"/>
      <c r="KR19" s="110"/>
      <c r="KS19" s="110"/>
      <c r="KT19" s="110"/>
      <c r="KU19" s="110"/>
      <c r="KV19" s="111"/>
      <c r="KW19" s="111"/>
      <c r="KX19" s="111"/>
      <c r="KY19" s="111"/>
      <c r="KZ19" s="112"/>
      <c r="LA19" s="109"/>
      <c r="LB19" s="110"/>
      <c r="LC19" s="110"/>
      <c r="LD19" s="110"/>
      <c r="LF19" s="140"/>
      <c r="LG19" s="140"/>
      <c r="LH19" s="140"/>
      <c r="LI19" s="140"/>
      <c r="LJ19" s="141"/>
    </row>
    <row r="20" spans="1:322" s="120" customFormat="1" ht="45" customHeight="1" x14ac:dyDescent="0.5">
      <c r="A20" s="110"/>
      <c r="B20" s="110"/>
      <c r="C20" s="110"/>
      <c r="D20" s="110"/>
      <c r="E20" s="110"/>
      <c r="F20" s="110"/>
      <c r="G20" s="110"/>
      <c r="H20" s="110"/>
      <c r="I20" s="110"/>
      <c r="J20" s="110"/>
      <c r="K20" s="110"/>
      <c r="L20" s="110"/>
      <c r="M20" s="111"/>
      <c r="N20" s="111"/>
      <c r="O20" s="111"/>
      <c r="P20" s="111"/>
      <c r="Q20" s="112"/>
      <c r="R20" s="109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1"/>
      <c r="AJ20" s="111"/>
      <c r="AK20" s="111"/>
      <c r="AL20" s="111"/>
      <c r="AM20" s="112"/>
      <c r="AN20" s="109"/>
      <c r="AO20" s="110"/>
      <c r="AP20" s="110"/>
      <c r="AQ20" s="110"/>
      <c r="AR20" s="110"/>
      <c r="AS20" s="110"/>
      <c r="AT20" s="110"/>
      <c r="AU20" s="110"/>
      <c r="AV20" s="110"/>
      <c r="AW20" s="110"/>
      <c r="AX20" s="110"/>
      <c r="AY20" s="110"/>
      <c r="AZ20" s="110"/>
      <c r="BA20" s="110"/>
      <c r="BB20" s="110"/>
      <c r="BC20" s="110"/>
      <c r="BD20" s="111"/>
      <c r="BE20" s="111"/>
      <c r="BF20" s="111"/>
      <c r="BG20" s="111"/>
      <c r="BH20" s="112"/>
      <c r="BI20" s="109"/>
      <c r="BJ20" s="110"/>
      <c r="BK20" s="110"/>
      <c r="BL20" s="110"/>
      <c r="BM20" s="110"/>
      <c r="BN20" s="110"/>
      <c r="BO20" s="110"/>
      <c r="BP20" s="110"/>
      <c r="BQ20" s="110"/>
      <c r="BR20" s="110"/>
      <c r="BS20" s="110"/>
      <c r="BT20" s="110"/>
      <c r="BU20" s="110"/>
      <c r="BV20" s="110"/>
      <c r="BW20" s="110"/>
      <c r="BX20" s="110"/>
      <c r="BY20" s="111"/>
      <c r="BZ20" s="111"/>
      <c r="CA20" s="111"/>
      <c r="CB20" s="111"/>
      <c r="CC20" s="112"/>
      <c r="CD20" s="109"/>
      <c r="CE20" s="110"/>
      <c r="CF20" s="110"/>
      <c r="CG20" s="110"/>
      <c r="CH20" s="110"/>
      <c r="CI20" s="110"/>
      <c r="CJ20" s="110"/>
      <c r="CK20" s="110"/>
      <c r="CL20" s="110"/>
      <c r="CM20" s="110"/>
      <c r="CN20" s="110"/>
      <c r="CO20" s="110"/>
      <c r="CP20" s="110"/>
      <c r="CQ20" s="110"/>
      <c r="CR20" s="110"/>
      <c r="CS20" s="110"/>
      <c r="CT20" s="111"/>
      <c r="CU20" s="111"/>
      <c r="CV20" s="111"/>
      <c r="CW20" s="111"/>
      <c r="CX20" s="112"/>
      <c r="CY20" s="109"/>
      <c r="CZ20" s="110"/>
      <c r="DA20" s="110"/>
      <c r="DB20" s="110"/>
      <c r="DC20" s="110"/>
      <c r="DD20" s="110"/>
      <c r="DE20" s="110"/>
      <c r="DF20" s="110"/>
      <c r="DG20" s="110"/>
      <c r="DH20" s="110"/>
      <c r="DI20" s="110"/>
      <c r="DJ20" s="110"/>
      <c r="DK20" s="110"/>
      <c r="DL20" s="110"/>
      <c r="DM20" s="110"/>
      <c r="DN20" s="110"/>
      <c r="DO20" s="111"/>
      <c r="DP20" s="111"/>
      <c r="DQ20" s="111"/>
      <c r="DR20" s="111"/>
      <c r="DS20" s="112"/>
      <c r="DT20" s="109"/>
      <c r="DU20" s="110"/>
      <c r="DV20" s="110"/>
      <c r="DW20" s="110"/>
      <c r="DX20" s="110"/>
      <c r="DY20" s="110"/>
      <c r="DZ20" s="110"/>
      <c r="EA20" s="110"/>
      <c r="EB20" s="110"/>
      <c r="EC20" s="110"/>
      <c r="ED20" s="110"/>
      <c r="EE20" s="110"/>
      <c r="EF20" s="110"/>
      <c r="EG20" s="110"/>
      <c r="EH20" s="110"/>
      <c r="EI20" s="110"/>
      <c r="EJ20" s="111"/>
      <c r="EK20" s="111"/>
      <c r="EL20" s="111"/>
      <c r="EM20" s="111"/>
      <c r="EN20" s="112"/>
      <c r="EO20" s="109"/>
      <c r="EP20" s="110"/>
      <c r="EQ20" s="110"/>
      <c r="ER20" s="110"/>
      <c r="ES20" s="110"/>
      <c r="ET20" s="110"/>
      <c r="EU20" s="110"/>
      <c r="EV20" s="110"/>
      <c r="EW20" s="110"/>
      <c r="EX20" s="110"/>
      <c r="EY20" s="110"/>
      <c r="EZ20" s="110"/>
      <c r="FA20" s="110"/>
      <c r="FB20" s="110"/>
      <c r="FC20" s="110"/>
      <c r="FD20" s="110"/>
      <c r="FE20" s="111"/>
      <c r="FF20" s="111"/>
      <c r="FG20" s="111"/>
      <c r="FH20" s="111"/>
      <c r="FI20" s="112"/>
      <c r="FJ20" s="109"/>
      <c r="FK20" s="110"/>
      <c r="FL20" s="110"/>
      <c r="FM20" s="110"/>
      <c r="FN20" s="110"/>
      <c r="FO20" s="110"/>
      <c r="FP20" s="110"/>
      <c r="FQ20" s="110"/>
      <c r="FR20" s="110"/>
      <c r="FS20" s="110"/>
      <c r="FT20" s="110"/>
      <c r="FU20" s="110"/>
      <c r="FV20" s="110"/>
      <c r="FW20" s="110"/>
      <c r="FX20" s="110"/>
      <c r="FY20" s="110"/>
      <c r="FZ20" s="111"/>
      <c r="GA20" s="111"/>
      <c r="GB20" s="111"/>
      <c r="GC20" s="111"/>
      <c r="GD20" s="112"/>
      <c r="GE20" s="109"/>
      <c r="GF20" s="110"/>
      <c r="GG20" s="110"/>
      <c r="GH20" s="110"/>
      <c r="GI20" s="110"/>
      <c r="GJ20" s="110"/>
      <c r="GK20" s="110"/>
      <c r="GL20" s="110"/>
      <c r="GM20" s="110"/>
      <c r="GN20" s="110"/>
      <c r="GO20" s="110"/>
      <c r="GP20" s="110"/>
      <c r="GQ20" s="110"/>
      <c r="GR20" s="110"/>
      <c r="GS20" s="110"/>
      <c r="GT20" s="110"/>
      <c r="GU20" s="111"/>
      <c r="GV20" s="111"/>
      <c r="GW20" s="111"/>
      <c r="GX20" s="111"/>
      <c r="GY20" s="112"/>
      <c r="GZ20" s="109"/>
      <c r="HA20" s="110"/>
      <c r="HB20" s="110"/>
      <c r="HC20" s="110"/>
      <c r="HD20" s="110"/>
      <c r="HE20" s="110"/>
      <c r="HF20" s="110"/>
      <c r="HG20" s="110"/>
      <c r="HH20" s="110"/>
      <c r="HI20" s="110"/>
      <c r="HJ20" s="110"/>
      <c r="HK20" s="110"/>
      <c r="HL20" s="110"/>
      <c r="HM20" s="110"/>
      <c r="HN20" s="110"/>
      <c r="HO20" s="110"/>
      <c r="HP20" s="111"/>
      <c r="HQ20" s="111"/>
      <c r="HR20" s="111"/>
      <c r="HS20" s="111"/>
      <c r="HT20" s="112"/>
      <c r="HU20" s="109"/>
      <c r="HV20" s="110"/>
      <c r="HW20" s="110"/>
      <c r="HX20" s="110"/>
      <c r="HY20" s="110"/>
      <c r="HZ20" s="110"/>
      <c r="IA20" s="110"/>
      <c r="IB20" s="110"/>
      <c r="IC20" s="110"/>
      <c r="ID20" s="110"/>
      <c r="IE20" s="110"/>
      <c r="IF20" s="110"/>
      <c r="IG20" s="110"/>
      <c r="IH20" s="110"/>
      <c r="II20" s="110"/>
      <c r="IJ20" s="110"/>
      <c r="IK20" s="111"/>
      <c r="IL20" s="111"/>
      <c r="IM20" s="111"/>
      <c r="IN20" s="111"/>
      <c r="IO20" s="112"/>
      <c r="IP20" s="109"/>
      <c r="IQ20" s="110"/>
      <c r="IR20" s="110"/>
      <c r="IS20" s="110"/>
      <c r="IT20" s="110"/>
      <c r="IU20" s="110"/>
      <c r="IV20" s="110"/>
      <c r="IW20" s="110"/>
      <c r="IX20" s="110"/>
      <c r="IY20" s="110"/>
      <c r="IZ20" s="110"/>
      <c r="JA20" s="110"/>
      <c r="JB20" s="110"/>
      <c r="JC20" s="110"/>
      <c r="JD20" s="110"/>
      <c r="JE20" s="110"/>
      <c r="JF20" s="111"/>
      <c r="JG20" s="111"/>
      <c r="JH20" s="111"/>
      <c r="JI20" s="111"/>
      <c r="JJ20" s="112"/>
      <c r="JK20" s="109"/>
      <c r="JL20" s="110"/>
      <c r="JM20" s="110"/>
      <c r="JN20" s="110"/>
      <c r="JO20" s="110"/>
      <c r="JP20" s="110"/>
      <c r="JQ20" s="110"/>
      <c r="JR20" s="110"/>
      <c r="JS20" s="110"/>
      <c r="JT20" s="110"/>
      <c r="JU20" s="110"/>
      <c r="JV20" s="110"/>
      <c r="JW20" s="110"/>
      <c r="JX20" s="110"/>
      <c r="JY20" s="110"/>
      <c r="JZ20" s="110"/>
      <c r="KA20" s="111"/>
      <c r="KB20" s="111"/>
      <c r="KC20" s="111"/>
      <c r="KD20" s="111"/>
      <c r="KE20" s="112"/>
      <c r="KF20" s="109"/>
      <c r="KG20" s="110"/>
      <c r="KH20" s="110"/>
      <c r="KI20" s="110"/>
      <c r="KJ20" s="110"/>
      <c r="KK20" s="110"/>
      <c r="KL20" s="110"/>
      <c r="KM20" s="110"/>
      <c r="KN20" s="110"/>
      <c r="KO20" s="110"/>
      <c r="KP20" s="110"/>
      <c r="KQ20" s="110"/>
      <c r="KR20" s="110"/>
      <c r="KS20" s="110"/>
      <c r="KT20" s="110"/>
      <c r="KU20" s="110"/>
      <c r="KV20" s="111"/>
      <c r="KW20" s="111"/>
      <c r="KX20" s="111"/>
      <c r="KY20" s="111"/>
      <c r="KZ20" s="112"/>
      <c r="LA20" s="109"/>
      <c r="LB20" s="110"/>
      <c r="LC20" s="110"/>
      <c r="LD20" s="110"/>
      <c r="LF20" s="142"/>
      <c r="LG20" s="142"/>
      <c r="LH20" s="142"/>
      <c r="LI20" s="142"/>
      <c r="LJ20" s="143"/>
    </row>
    <row r="21" spans="1:322" s="144" customFormat="1" ht="45" customHeight="1" x14ac:dyDescent="0.5">
      <c r="A21" s="109"/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17"/>
      <c r="N21" s="117"/>
      <c r="O21" s="117"/>
      <c r="P21" s="117"/>
      <c r="Q21" s="118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09"/>
      <c r="AC21" s="109"/>
      <c r="AD21" s="109"/>
      <c r="AE21" s="109"/>
      <c r="AF21" s="109"/>
      <c r="AG21" s="109"/>
      <c r="AH21" s="109"/>
      <c r="AI21" s="117"/>
      <c r="AJ21" s="117"/>
      <c r="AK21" s="117"/>
      <c r="AL21" s="117"/>
      <c r="AM21" s="118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  <c r="BC21" s="109"/>
      <c r="BD21" s="117"/>
      <c r="BE21" s="117"/>
      <c r="BF21" s="117"/>
      <c r="BG21" s="117"/>
      <c r="BH21" s="118"/>
      <c r="BI21" s="109"/>
      <c r="BJ21" s="109"/>
      <c r="BK21" s="109"/>
      <c r="BL21" s="109"/>
      <c r="BM21" s="109"/>
      <c r="BN21" s="109"/>
      <c r="BO21" s="109"/>
      <c r="BP21" s="109"/>
      <c r="BQ21" s="109"/>
      <c r="BR21" s="109"/>
      <c r="BS21" s="109"/>
      <c r="BT21" s="109"/>
      <c r="BU21" s="109"/>
      <c r="BV21" s="109"/>
      <c r="BW21" s="109"/>
      <c r="BX21" s="109"/>
      <c r="BY21" s="117"/>
      <c r="BZ21" s="117"/>
      <c r="CA21" s="117"/>
      <c r="CB21" s="117"/>
      <c r="CC21" s="118"/>
      <c r="CD21" s="109"/>
      <c r="CE21" s="109"/>
      <c r="CF21" s="109"/>
      <c r="CG21" s="109"/>
      <c r="CH21" s="109"/>
      <c r="CI21" s="109"/>
      <c r="CJ21" s="109"/>
      <c r="CK21" s="109"/>
      <c r="CL21" s="109"/>
      <c r="CM21" s="109"/>
      <c r="CN21" s="109"/>
      <c r="CO21" s="109"/>
      <c r="CP21" s="109"/>
      <c r="CQ21" s="109"/>
      <c r="CR21" s="109"/>
      <c r="CS21" s="109"/>
      <c r="CT21" s="117"/>
      <c r="CU21" s="117"/>
      <c r="CV21" s="117"/>
      <c r="CW21" s="117"/>
      <c r="CX21" s="118"/>
      <c r="CY21" s="109"/>
      <c r="CZ21" s="109"/>
      <c r="DA21" s="109"/>
      <c r="DB21" s="109"/>
      <c r="DC21" s="109"/>
      <c r="DD21" s="109"/>
      <c r="DE21" s="109"/>
      <c r="DF21" s="109"/>
      <c r="DG21" s="109"/>
      <c r="DH21" s="109"/>
      <c r="DI21" s="109"/>
      <c r="DJ21" s="109"/>
      <c r="DK21" s="109"/>
      <c r="DL21" s="109"/>
      <c r="DM21" s="109"/>
      <c r="DN21" s="109"/>
      <c r="DO21" s="117"/>
      <c r="DP21" s="117"/>
      <c r="DQ21" s="117"/>
      <c r="DR21" s="117"/>
      <c r="DS21" s="118"/>
      <c r="DT21" s="109"/>
      <c r="DU21" s="109"/>
      <c r="DV21" s="109"/>
      <c r="DW21" s="109"/>
      <c r="DX21" s="109"/>
      <c r="DY21" s="109"/>
      <c r="DZ21" s="109"/>
      <c r="EA21" s="109"/>
      <c r="EB21" s="109"/>
      <c r="EC21" s="109"/>
      <c r="ED21" s="109"/>
      <c r="EE21" s="109"/>
      <c r="EF21" s="109"/>
      <c r="EG21" s="109"/>
      <c r="EH21" s="109"/>
      <c r="EI21" s="109"/>
      <c r="EJ21" s="117"/>
      <c r="EK21" s="117"/>
      <c r="EL21" s="117"/>
      <c r="EM21" s="117"/>
      <c r="EN21" s="118"/>
      <c r="EO21" s="109"/>
      <c r="EP21" s="109"/>
      <c r="EQ21" s="109"/>
      <c r="ER21" s="109"/>
      <c r="ES21" s="109"/>
      <c r="ET21" s="109"/>
      <c r="EU21" s="109"/>
      <c r="EV21" s="109"/>
      <c r="EW21" s="109"/>
      <c r="EX21" s="109"/>
      <c r="EY21" s="109"/>
      <c r="EZ21" s="109"/>
      <c r="FA21" s="109"/>
      <c r="FB21" s="109"/>
      <c r="FC21" s="109"/>
      <c r="FD21" s="109"/>
      <c r="FE21" s="117"/>
      <c r="FF21" s="117"/>
      <c r="FG21" s="117"/>
      <c r="FH21" s="117"/>
      <c r="FI21" s="118"/>
      <c r="FJ21" s="109"/>
      <c r="FK21" s="109"/>
      <c r="FL21" s="109"/>
      <c r="FM21" s="109"/>
      <c r="FN21" s="109"/>
      <c r="FO21" s="109"/>
      <c r="FP21" s="109"/>
      <c r="FQ21" s="109"/>
      <c r="FR21" s="109"/>
      <c r="FS21" s="109"/>
      <c r="FT21" s="109"/>
      <c r="FU21" s="109"/>
      <c r="FV21" s="109"/>
      <c r="FW21" s="109"/>
      <c r="FX21" s="109"/>
      <c r="FY21" s="109"/>
      <c r="FZ21" s="117"/>
      <c r="GA21" s="117"/>
      <c r="GB21" s="117"/>
      <c r="GC21" s="117"/>
      <c r="GD21" s="118"/>
      <c r="GE21" s="109"/>
      <c r="GF21" s="109"/>
      <c r="GG21" s="109"/>
      <c r="GH21" s="109"/>
      <c r="GI21" s="109"/>
      <c r="GJ21" s="109"/>
      <c r="GK21" s="109"/>
      <c r="GL21" s="109"/>
      <c r="GM21" s="109"/>
      <c r="GN21" s="109"/>
      <c r="GO21" s="109"/>
      <c r="GP21" s="109"/>
      <c r="GQ21" s="109"/>
      <c r="GR21" s="109"/>
      <c r="GS21" s="109"/>
      <c r="GT21" s="109"/>
      <c r="GU21" s="117"/>
      <c r="GV21" s="117"/>
      <c r="GW21" s="117"/>
      <c r="GX21" s="117"/>
      <c r="GY21" s="118"/>
      <c r="GZ21" s="109"/>
      <c r="HA21" s="109"/>
      <c r="HB21" s="109"/>
      <c r="HC21" s="109"/>
      <c r="HD21" s="109"/>
      <c r="HE21" s="109"/>
      <c r="HF21" s="109"/>
      <c r="HG21" s="109"/>
      <c r="HH21" s="109"/>
      <c r="HI21" s="109"/>
      <c r="HJ21" s="109"/>
      <c r="HK21" s="109"/>
      <c r="HL21" s="109"/>
      <c r="HM21" s="109"/>
      <c r="HN21" s="109"/>
      <c r="HO21" s="109"/>
      <c r="HP21" s="117"/>
      <c r="HQ21" s="117"/>
      <c r="HR21" s="117"/>
      <c r="HS21" s="117"/>
      <c r="HT21" s="118"/>
      <c r="HU21" s="109"/>
      <c r="HV21" s="109"/>
      <c r="HW21" s="109"/>
      <c r="HX21" s="109"/>
      <c r="HY21" s="109"/>
      <c r="HZ21" s="109"/>
      <c r="IA21" s="109"/>
      <c r="IB21" s="109"/>
      <c r="IC21" s="109"/>
      <c r="ID21" s="109"/>
      <c r="IE21" s="109"/>
      <c r="IF21" s="109"/>
      <c r="IG21" s="109"/>
      <c r="IH21" s="109"/>
      <c r="II21" s="109"/>
      <c r="IJ21" s="109"/>
      <c r="IK21" s="117"/>
      <c r="IL21" s="117"/>
      <c r="IM21" s="117"/>
      <c r="IN21" s="117"/>
      <c r="IO21" s="118"/>
      <c r="IP21" s="109"/>
      <c r="IQ21" s="109"/>
      <c r="IR21" s="109"/>
      <c r="IS21" s="109"/>
      <c r="IT21" s="109"/>
      <c r="IU21" s="109"/>
      <c r="IV21" s="109"/>
      <c r="IW21" s="109"/>
      <c r="IX21" s="109"/>
      <c r="IY21" s="109"/>
      <c r="IZ21" s="109"/>
      <c r="JA21" s="109"/>
      <c r="JB21" s="109"/>
      <c r="JC21" s="109"/>
      <c r="JD21" s="109"/>
      <c r="JE21" s="109"/>
      <c r="JF21" s="117"/>
      <c r="JG21" s="117"/>
      <c r="JH21" s="117"/>
      <c r="JI21" s="117"/>
      <c r="JJ21" s="118"/>
      <c r="JK21" s="109"/>
      <c r="JL21" s="109"/>
      <c r="JM21" s="109"/>
      <c r="JN21" s="109"/>
      <c r="JO21" s="109"/>
      <c r="JP21" s="109"/>
      <c r="JQ21" s="109"/>
      <c r="JR21" s="109"/>
      <c r="JS21" s="109"/>
      <c r="JT21" s="109"/>
      <c r="JU21" s="109"/>
      <c r="JV21" s="109"/>
      <c r="JW21" s="109"/>
      <c r="JX21" s="109"/>
      <c r="JY21" s="109"/>
      <c r="JZ21" s="109"/>
      <c r="KA21" s="117"/>
      <c r="KB21" s="117"/>
      <c r="KC21" s="117"/>
      <c r="KD21" s="117"/>
      <c r="KE21" s="118"/>
      <c r="KF21" s="109"/>
      <c r="KG21" s="109"/>
      <c r="KH21" s="109"/>
      <c r="KI21" s="109"/>
      <c r="KJ21" s="109"/>
      <c r="KK21" s="109"/>
      <c r="KL21" s="109"/>
      <c r="KM21" s="109"/>
      <c r="KN21" s="109"/>
      <c r="KO21" s="109"/>
      <c r="KP21" s="109"/>
      <c r="KQ21" s="109"/>
      <c r="KR21" s="109"/>
      <c r="KS21" s="109"/>
      <c r="KT21" s="109"/>
      <c r="KU21" s="109"/>
      <c r="KV21" s="117"/>
      <c r="KW21" s="117"/>
      <c r="KX21" s="117"/>
      <c r="KY21" s="117"/>
      <c r="KZ21" s="118"/>
      <c r="LA21" s="109"/>
      <c r="LB21" s="109"/>
      <c r="LC21" s="109"/>
      <c r="LD21" s="109"/>
    </row>
    <row r="22" spans="1:322" ht="45" customHeight="1" x14ac:dyDescent="0.5">
      <c r="A22" s="153"/>
      <c r="B22" s="153"/>
      <c r="C22" s="153"/>
      <c r="D22" s="153"/>
      <c r="E22" s="153"/>
      <c r="F22" s="153"/>
      <c r="G22" s="153"/>
      <c r="H22" s="153"/>
      <c r="I22" s="153"/>
      <c r="J22" s="153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  <c r="W22" s="153"/>
      <c r="X22" s="153"/>
      <c r="Y22" s="154"/>
      <c r="Z22" s="154"/>
      <c r="AA22" s="154"/>
      <c r="AB22" s="154"/>
    </row>
    <row r="23" spans="1:322" ht="45" customHeight="1" x14ac:dyDescent="0.5">
      <c r="A23" s="84" t="s">
        <v>22</v>
      </c>
      <c r="B23" s="84" t="s">
        <v>25</v>
      </c>
      <c r="C23" s="84" t="s">
        <v>24</v>
      </c>
      <c r="D23" s="84" t="s">
        <v>23</v>
      </c>
      <c r="E23" s="85" t="s">
        <v>0</v>
      </c>
      <c r="F23" s="85" t="s">
        <v>1</v>
      </c>
      <c r="G23" s="85" t="s">
        <v>2</v>
      </c>
      <c r="H23" s="85" t="s">
        <v>3</v>
      </c>
      <c r="I23" s="85" t="s">
        <v>4</v>
      </c>
      <c r="J23" s="85" t="s">
        <v>5</v>
      </c>
      <c r="K23" s="85" t="s">
        <v>6</v>
      </c>
      <c r="L23" s="85" t="s">
        <v>7</v>
      </c>
      <c r="M23" s="85" t="s">
        <v>8</v>
      </c>
      <c r="N23" s="85" t="s">
        <v>9</v>
      </c>
      <c r="O23" s="85" t="s">
        <v>10</v>
      </c>
      <c r="P23" s="85" t="s">
        <v>11</v>
      </c>
      <c r="Q23" s="85" t="s">
        <v>12</v>
      </c>
      <c r="R23" s="85" t="s">
        <v>13</v>
      </c>
      <c r="S23" s="85" t="s">
        <v>14</v>
      </c>
      <c r="T23" s="85" t="s">
        <v>15</v>
      </c>
      <c r="U23" s="85" t="s">
        <v>16</v>
      </c>
      <c r="V23" s="85" t="s">
        <v>17</v>
      </c>
      <c r="W23" s="85" t="s">
        <v>64</v>
      </c>
      <c r="X23" s="85" t="s">
        <v>18</v>
      </c>
      <c r="Y23" s="85" t="s">
        <v>19</v>
      </c>
      <c r="Z23" s="85" t="s">
        <v>20</v>
      </c>
      <c r="AA23" s="85" t="s">
        <v>21</v>
      </c>
      <c r="AB23" s="85" t="s">
        <v>26</v>
      </c>
      <c r="AC23" s="152"/>
    </row>
    <row r="24" spans="1:322" ht="45" customHeight="1" x14ac:dyDescent="0.5">
      <c r="A24" s="44">
        <f>D30</f>
        <v>0</v>
      </c>
      <c r="B24" s="44">
        <v>3</v>
      </c>
      <c r="C24" s="44">
        <v>7</v>
      </c>
      <c r="D24" s="86" t="s">
        <v>65</v>
      </c>
      <c r="E24" s="87">
        <v>0</v>
      </c>
      <c r="F24" s="87">
        <v>0</v>
      </c>
      <c r="G24" s="87">
        <v>0</v>
      </c>
      <c r="H24" s="87">
        <v>0</v>
      </c>
      <c r="I24" s="87">
        <f>E24+G24</f>
        <v>0</v>
      </c>
      <c r="J24" s="87">
        <f>F24+H24</f>
        <v>0</v>
      </c>
      <c r="K24" s="87">
        <v>0</v>
      </c>
      <c r="L24" s="87">
        <v>0</v>
      </c>
      <c r="M24" s="87">
        <v>0</v>
      </c>
      <c r="N24" s="87">
        <v>0</v>
      </c>
      <c r="O24" s="87">
        <f>E24*2+G24*3+K24</f>
        <v>0</v>
      </c>
      <c r="P24" s="87">
        <f>M24+N24</f>
        <v>0</v>
      </c>
      <c r="Q24" s="87">
        <v>0</v>
      </c>
      <c r="R24" s="87">
        <v>0</v>
      </c>
      <c r="S24" s="87">
        <v>0</v>
      </c>
      <c r="T24" s="87">
        <v>0</v>
      </c>
      <c r="U24" s="87">
        <v>0</v>
      </c>
      <c r="V24" s="88">
        <f>IFERROR(I24/J24,0)</f>
        <v>0</v>
      </c>
      <c r="W24" s="88">
        <f>IFERROR(O24/(2*(J24+0.44*L24)), 0)</f>
        <v>0</v>
      </c>
      <c r="X24" s="88">
        <f>IFERROR(K24/L24,0)</f>
        <v>0</v>
      </c>
      <c r="Y24" s="88">
        <f>IFERROR(E24/F24,0)</f>
        <v>0</v>
      </c>
      <c r="Z24" s="88">
        <f>IFERROR(G24/H24,0)</f>
        <v>0</v>
      </c>
      <c r="AA24" s="89">
        <f>(O24)+(0.4*I24)-(0.7*J24)-(0.4*(L24-K24))+(0.7*M24)+(0.3*N24)+S24+(0.7*Q24)+(0.7*R24)-(0.4*U24)-T24</f>
        <v>0</v>
      </c>
      <c r="AB24" s="168" t="s">
        <v>27</v>
      </c>
      <c r="AC24" s="151"/>
      <c r="AD24" s="109"/>
      <c r="AE24" s="109"/>
      <c r="AF24" s="109"/>
      <c r="AG24" s="109"/>
      <c r="AH24" s="109"/>
      <c r="AI24" s="109"/>
      <c r="AJ24" s="109"/>
      <c r="AK24" s="109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</row>
    <row r="25" spans="1:322" ht="45" customHeight="1" x14ac:dyDescent="0.5">
      <c r="A25" s="44">
        <f>A24</f>
        <v>0</v>
      </c>
      <c r="B25" s="44">
        <v>3</v>
      </c>
      <c r="C25" s="44">
        <f>C24</f>
        <v>7</v>
      </c>
      <c r="D25" s="86" t="s">
        <v>28</v>
      </c>
      <c r="E25" s="90">
        <v>0</v>
      </c>
      <c r="F25" s="90">
        <v>0</v>
      </c>
      <c r="G25" s="90">
        <v>0</v>
      </c>
      <c r="H25" s="90">
        <v>0</v>
      </c>
      <c r="I25" s="90">
        <f t="shared" ref="I25:I28" si="27">E25+G25</f>
        <v>0</v>
      </c>
      <c r="J25" s="90">
        <f t="shared" ref="J25:J29" si="28">F25+H25</f>
        <v>0</v>
      </c>
      <c r="K25" s="90">
        <v>0</v>
      </c>
      <c r="L25" s="90">
        <v>0</v>
      </c>
      <c r="M25" s="90">
        <v>0</v>
      </c>
      <c r="N25" s="90">
        <v>0</v>
      </c>
      <c r="O25" s="90">
        <f t="shared" ref="O25:O28" si="29">E25*2+G25*3+K25</f>
        <v>0</v>
      </c>
      <c r="P25" s="90">
        <f t="shared" ref="P25:P28" si="30">M25+N25</f>
        <v>0</v>
      </c>
      <c r="Q25" s="90">
        <v>0</v>
      </c>
      <c r="R25" s="90">
        <v>0</v>
      </c>
      <c r="S25" s="90">
        <v>0</v>
      </c>
      <c r="T25" s="90">
        <v>0</v>
      </c>
      <c r="U25" s="90">
        <v>0</v>
      </c>
      <c r="V25" s="91">
        <f t="shared" ref="V25:V28" si="31">IFERROR(I25/J25,0)</f>
        <v>0</v>
      </c>
      <c r="W25" s="91">
        <f t="shared" ref="W25:W28" si="32">IFERROR(O25/(2*(J25+0.44*L25)), 0)</f>
        <v>0</v>
      </c>
      <c r="X25" s="91">
        <f t="shared" ref="X25:X28" si="33">IFERROR(K25/L25,0)</f>
        <v>0</v>
      </c>
      <c r="Y25" s="91">
        <f t="shared" ref="Y25:Y28" si="34">IFERROR(E25/F25,0)</f>
        <v>0</v>
      </c>
      <c r="Z25" s="91">
        <f t="shared" ref="Z25:Z29" si="35">IFERROR(G25/H25,0)</f>
        <v>0</v>
      </c>
      <c r="AA25" s="92">
        <f t="shared" ref="AA25:AA28" si="36">(O25)+(0.4*I25)-(0.7*J25)-(0.4*(L25-K25))+(0.7*M25)+(0.3*N25)+S25+(0.7*Q25)+(0.7*R25)-(0.4*U25)-T25</f>
        <v>0</v>
      </c>
      <c r="AB25" s="168" t="str">
        <f>AB24</f>
        <v>REG</v>
      </c>
      <c r="AC25" s="151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1"/>
      <c r="AV25" s="111"/>
    </row>
    <row r="26" spans="1:322" ht="45" customHeight="1" x14ac:dyDescent="0.5">
      <c r="A26" s="44">
        <f t="shared" ref="A26:C26" si="37">A25</f>
        <v>0</v>
      </c>
      <c r="B26" s="44">
        <f t="shared" si="37"/>
        <v>3</v>
      </c>
      <c r="C26" s="44">
        <f t="shared" si="37"/>
        <v>7</v>
      </c>
      <c r="D26" s="86" t="s">
        <v>29</v>
      </c>
      <c r="E26" s="93">
        <v>0</v>
      </c>
      <c r="F26" s="93">
        <v>0</v>
      </c>
      <c r="G26" s="93">
        <v>0</v>
      </c>
      <c r="H26" s="93">
        <v>0</v>
      </c>
      <c r="I26" s="93">
        <f t="shared" si="27"/>
        <v>0</v>
      </c>
      <c r="J26" s="93">
        <f t="shared" si="28"/>
        <v>0</v>
      </c>
      <c r="K26" s="93">
        <v>0</v>
      </c>
      <c r="L26" s="93">
        <v>0</v>
      </c>
      <c r="M26" s="93">
        <v>0</v>
      </c>
      <c r="N26" s="93">
        <v>0</v>
      </c>
      <c r="O26" s="93">
        <f t="shared" si="29"/>
        <v>0</v>
      </c>
      <c r="P26" s="93">
        <f t="shared" si="30"/>
        <v>0</v>
      </c>
      <c r="Q26" s="93">
        <v>0</v>
      </c>
      <c r="R26" s="93">
        <v>0</v>
      </c>
      <c r="S26" s="93">
        <v>0</v>
      </c>
      <c r="T26" s="93">
        <v>0</v>
      </c>
      <c r="U26" s="93">
        <v>0</v>
      </c>
      <c r="V26" s="94">
        <f t="shared" si="31"/>
        <v>0</v>
      </c>
      <c r="W26" s="94">
        <f t="shared" si="32"/>
        <v>0</v>
      </c>
      <c r="X26" s="94">
        <f t="shared" si="33"/>
        <v>0</v>
      </c>
      <c r="Y26" s="94">
        <f t="shared" si="34"/>
        <v>0</v>
      </c>
      <c r="Z26" s="94">
        <f t="shared" si="35"/>
        <v>0</v>
      </c>
      <c r="AA26" s="95">
        <f t="shared" si="36"/>
        <v>0</v>
      </c>
      <c r="AB26" s="46" t="str">
        <f t="shared" ref="AB26:AB30" si="38">AB25</f>
        <v>REG</v>
      </c>
      <c r="AC26" s="151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1"/>
      <c r="AV26" s="111"/>
    </row>
    <row r="27" spans="1:322" ht="45" customHeight="1" x14ac:dyDescent="0.5">
      <c r="A27" s="44">
        <f t="shared" ref="A27:C28" si="39">A26</f>
        <v>0</v>
      </c>
      <c r="B27" s="44">
        <f t="shared" si="39"/>
        <v>3</v>
      </c>
      <c r="C27" s="44">
        <f t="shared" si="39"/>
        <v>7</v>
      </c>
      <c r="D27" s="86" t="s">
        <v>45</v>
      </c>
      <c r="E27" s="99">
        <v>0</v>
      </c>
      <c r="F27" s="99">
        <v>0</v>
      </c>
      <c r="G27" s="99">
        <v>0</v>
      </c>
      <c r="H27" s="99">
        <v>0</v>
      </c>
      <c r="I27" s="99">
        <f t="shared" si="27"/>
        <v>0</v>
      </c>
      <c r="J27" s="99">
        <f t="shared" si="28"/>
        <v>0</v>
      </c>
      <c r="K27" s="99">
        <v>0</v>
      </c>
      <c r="L27" s="99">
        <v>0</v>
      </c>
      <c r="M27" s="99">
        <v>0</v>
      </c>
      <c r="N27" s="99">
        <v>0</v>
      </c>
      <c r="O27" s="99">
        <f t="shared" si="29"/>
        <v>0</v>
      </c>
      <c r="P27" s="99">
        <f t="shared" si="30"/>
        <v>0</v>
      </c>
      <c r="Q27" s="99">
        <v>0</v>
      </c>
      <c r="R27" s="99">
        <v>0</v>
      </c>
      <c r="S27" s="99">
        <v>0</v>
      </c>
      <c r="T27" s="99">
        <v>0</v>
      </c>
      <c r="U27" s="99">
        <v>0</v>
      </c>
      <c r="V27" s="100">
        <f t="shared" si="31"/>
        <v>0</v>
      </c>
      <c r="W27" s="100">
        <f t="shared" si="32"/>
        <v>0</v>
      </c>
      <c r="X27" s="100">
        <f t="shared" si="33"/>
        <v>0</v>
      </c>
      <c r="Y27" s="100">
        <f t="shared" si="34"/>
        <v>0</v>
      </c>
      <c r="Z27" s="100">
        <f t="shared" si="35"/>
        <v>0</v>
      </c>
      <c r="AA27" s="101">
        <f t="shared" si="36"/>
        <v>0</v>
      </c>
      <c r="AB27" s="46" t="str">
        <f t="shared" si="38"/>
        <v>REG</v>
      </c>
      <c r="AC27" s="150"/>
    </row>
    <row r="28" spans="1:322" ht="45" customHeight="1" x14ac:dyDescent="0.5">
      <c r="A28" s="44">
        <f t="shared" si="39"/>
        <v>0</v>
      </c>
      <c r="B28" s="44">
        <f t="shared" si="39"/>
        <v>3</v>
      </c>
      <c r="C28" s="44">
        <f t="shared" si="39"/>
        <v>7</v>
      </c>
      <c r="D28" s="86" t="s">
        <v>41</v>
      </c>
      <c r="E28" s="163">
        <v>0</v>
      </c>
      <c r="F28" s="163">
        <v>0</v>
      </c>
      <c r="G28" s="163">
        <v>0</v>
      </c>
      <c r="H28" s="163">
        <v>0</v>
      </c>
      <c r="I28" s="163">
        <f t="shared" si="27"/>
        <v>0</v>
      </c>
      <c r="J28" s="163">
        <f t="shared" si="28"/>
        <v>0</v>
      </c>
      <c r="K28" s="163">
        <v>0</v>
      </c>
      <c r="L28" s="163">
        <v>0</v>
      </c>
      <c r="M28" s="163">
        <v>0</v>
      </c>
      <c r="N28" s="163">
        <v>0</v>
      </c>
      <c r="O28" s="163">
        <f t="shared" si="29"/>
        <v>0</v>
      </c>
      <c r="P28" s="163">
        <f t="shared" si="30"/>
        <v>0</v>
      </c>
      <c r="Q28" s="163">
        <v>0</v>
      </c>
      <c r="R28" s="163">
        <v>0</v>
      </c>
      <c r="S28" s="163">
        <v>0</v>
      </c>
      <c r="T28" s="163">
        <v>0</v>
      </c>
      <c r="U28" s="163">
        <v>0</v>
      </c>
      <c r="V28" s="164">
        <f t="shared" si="31"/>
        <v>0</v>
      </c>
      <c r="W28" s="164">
        <f t="shared" si="32"/>
        <v>0</v>
      </c>
      <c r="X28" s="164">
        <f t="shared" si="33"/>
        <v>0</v>
      </c>
      <c r="Y28" s="164">
        <f t="shared" si="34"/>
        <v>0</v>
      </c>
      <c r="Z28" s="164">
        <f t="shared" si="35"/>
        <v>0</v>
      </c>
      <c r="AA28" s="165">
        <f t="shared" si="36"/>
        <v>0</v>
      </c>
      <c r="AB28" s="46" t="str">
        <f t="shared" si="38"/>
        <v>REG</v>
      </c>
      <c r="AC28" s="150"/>
    </row>
    <row r="29" spans="1:322" ht="45" customHeight="1" x14ac:dyDescent="0.5">
      <c r="A29" s="44">
        <f>A27</f>
        <v>0</v>
      </c>
      <c r="B29" s="44">
        <f>B27</f>
        <v>3</v>
      </c>
      <c r="C29" s="44">
        <f>C27</f>
        <v>7</v>
      </c>
      <c r="D29" s="86" t="s">
        <v>32</v>
      </c>
      <c r="E29" s="105">
        <f t="shared" ref="E29:U29" si="40">SUM(E24:E28)</f>
        <v>0</v>
      </c>
      <c r="F29" s="105">
        <f t="shared" si="40"/>
        <v>0</v>
      </c>
      <c r="G29" s="105">
        <f t="shared" si="40"/>
        <v>0</v>
      </c>
      <c r="H29" s="105">
        <f t="shared" si="40"/>
        <v>0</v>
      </c>
      <c r="I29" s="105">
        <f t="shared" si="40"/>
        <v>0</v>
      </c>
      <c r="J29" s="105">
        <f t="shared" si="28"/>
        <v>0</v>
      </c>
      <c r="K29" s="105">
        <f t="shared" si="40"/>
        <v>0</v>
      </c>
      <c r="L29" s="105">
        <f t="shared" si="40"/>
        <v>0</v>
      </c>
      <c r="M29" s="105">
        <f t="shared" si="40"/>
        <v>0</v>
      </c>
      <c r="N29" s="105">
        <f t="shared" si="40"/>
        <v>0</v>
      </c>
      <c r="O29" s="105">
        <f t="shared" si="40"/>
        <v>0</v>
      </c>
      <c r="P29" s="105">
        <f t="shared" si="40"/>
        <v>0</v>
      </c>
      <c r="Q29" s="105">
        <f t="shared" si="40"/>
        <v>0</v>
      </c>
      <c r="R29" s="105">
        <f t="shared" si="40"/>
        <v>0</v>
      </c>
      <c r="S29" s="105">
        <f t="shared" si="40"/>
        <v>0</v>
      </c>
      <c r="T29" s="105">
        <f t="shared" si="40"/>
        <v>0</v>
      </c>
      <c r="U29" s="105">
        <f t="shared" si="40"/>
        <v>0</v>
      </c>
      <c r="V29" s="106">
        <f>IFERROR(I29/J29,0)</f>
        <v>0</v>
      </c>
      <c r="W29" s="106">
        <f>IFERROR(O29/(2*(J29+0.44*L29)), 0)</f>
        <v>0</v>
      </c>
      <c r="X29" s="106">
        <f>IFERROR(K29/L29,0)</f>
        <v>0</v>
      </c>
      <c r="Y29" s="106">
        <f>IFERROR(E29/F29,0)</f>
        <v>0</v>
      </c>
      <c r="Z29" s="106">
        <f t="shared" si="35"/>
        <v>0</v>
      </c>
      <c r="AA29" s="107">
        <f>IFERROR(AVERAGE(AA24:AA28),0)</f>
        <v>0</v>
      </c>
      <c r="AB29" s="46" t="str">
        <f t="shared" si="38"/>
        <v>REG</v>
      </c>
      <c r="AC29" s="150"/>
    </row>
    <row r="30" spans="1:322" ht="45" customHeight="1" x14ac:dyDescent="0.55000000000000004">
      <c r="A30" s="44" t="s">
        <v>33</v>
      </c>
      <c r="B30" s="44">
        <f t="shared" ref="B30:C30" si="41">B29</f>
        <v>3</v>
      </c>
      <c r="C30" s="44">
        <f t="shared" si="41"/>
        <v>7</v>
      </c>
      <c r="D30" s="158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83">
        <v>0</v>
      </c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46" t="str">
        <f t="shared" si="38"/>
        <v>REG</v>
      </c>
      <c r="AC30" s="150"/>
    </row>
    <row r="31" spans="1:322" ht="45" customHeight="1" x14ac:dyDescent="0.5">
      <c r="A31" s="155"/>
      <c r="B31" s="156"/>
      <c r="C31" s="156"/>
      <c r="D31" s="156"/>
      <c r="E31" s="156"/>
      <c r="F31" s="156"/>
      <c r="G31" s="156"/>
      <c r="H31" s="156"/>
      <c r="I31" s="156"/>
      <c r="J31" s="156"/>
      <c r="K31" s="156"/>
      <c r="L31" s="156"/>
      <c r="M31" s="156"/>
      <c r="N31" s="156"/>
      <c r="O31" s="156"/>
      <c r="P31" s="156"/>
      <c r="Q31" s="156"/>
      <c r="R31" s="156"/>
      <c r="S31" s="157"/>
      <c r="T31" s="157"/>
      <c r="U31" s="157"/>
      <c r="V31" s="157"/>
      <c r="W31" s="157"/>
      <c r="X31" s="157"/>
      <c r="Y31" s="157"/>
      <c r="Z31" s="157"/>
      <c r="AA31" s="157"/>
      <c r="AB31" s="157"/>
      <c r="AC31" s="150"/>
    </row>
    <row r="32" spans="1:322" ht="45" customHeight="1" x14ac:dyDescent="0.5">
      <c r="A32" s="155"/>
      <c r="B32" s="156"/>
      <c r="C32" s="156"/>
      <c r="D32" s="156"/>
      <c r="E32" s="156"/>
      <c r="F32" s="156"/>
      <c r="G32" s="156"/>
      <c r="H32" s="156"/>
      <c r="I32" s="156"/>
      <c r="J32" s="156"/>
      <c r="K32" s="156"/>
      <c r="L32" s="156"/>
      <c r="M32" s="156"/>
      <c r="N32" s="156"/>
      <c r="O32" s="156"/>
      <c r="P32" s="156"/>
      <c r="Q32" s="156"/>
      <c r="R32" s="156"/>
      <c r="S32" s="157"/>
      <c r="T32" s="157"/>
      <c r="U32" s="157"/>
      <c r="V32" s="157"/>
      <c r="W32" s="157"/>
      <c r="X32" s="157"/>
      <c r="Y32" s="157"/>
      <c r="Z32" s="157"/>
      <c r="AA32" s="157"/>
      <c r="AB32" s="157"/>
    </row>
    <row r="33" spans="1:27" ht="45" customHeight="1" x14ac:dyDescent="0.5">
      <c r="A33" s="109"/>
      <c r="B33" s="112"/>
      <c r="C33" s="112"/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</row>
    <row r="34" spans="1:27" ht="45" customHeight="1" x14ac:dyDescent="0.5">
      <c r="A34" s="109"/>
      <c r="B34" s="112"/>
      <c r="C34" s="112"/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</row>
    <row r="35" spans="1:27" ht="45" customHeight="1" x14ac:dyDescent="0.5">
      <c r="A35" s="109"/>
      <c r="B35" s="112"/>
      <c r="C35" s="112"/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</row>
    <row r="36" spans="1:27" ht="45" customHeight="1" x14ac:dyDescent="0.5">
      <c r="A36" s="109"/>
      <c r="B36" s="112"/>
      <c r="C36" s="112"/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45"/>
      <c r="T36" s="145"/>
      <c r="U36" s="145"/>
      <c r="V36" s="145"/>
      <c r="W36" s="145"/>
      <c r="X36" s="145"/>
      <c r="Y36" s="145"/>
    </row>
    <row r="37" spans="1:27" ht="45" customHeight="1" x14ac:dyDescent="0.5">
      <c r="A37" s="109"/>
      <c r="B37" s="112"/>
      <c r="C37" s="112"/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Z37" s="145"/>
      <c r="AA37" s="145"/>
    </row>
    <row r="38" spans="1:27" ht="45" customHeight="1" x14ac:dyDescent="0.5">
      <c r="A38" s="109"/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45"/>
      <c r="T38" s="145"/>
      <c r="U38" s="145"/>
      <c r="V38" s="145"/>
      <c r="W38" s="145"/>
      <c r="X38" s="145"/>
      <c r="Y38" s="145"/>
      <c r="Z38" s="145"/>
      <c r="AA38" s="145"/>
    </row>
    <row r="39" spans="1:27" ht="45" customHeight="1" x14ac:dyDescent="0.25">
      <c r="A39" s="146"/>
      <c r="B39" s="147"/>
      <c r="C39" s="147"/>
      <c r="D39" s="147"/>
      <c r="E39" s="147"/>
      <c r="F39" s="147"/>
      <c r="G39" s="147"/>
      <c r="H39" s="147"/>
      <c r="I39" s="147"/>
      <c r="J39" s="147"/>
      <c r="K39" s="147"/>
      <c r="L39" s="147"/>
      <c r="M39" s="147"/>
      <c r="N39" s="147"/>
      <c r="O39" s="147"/>
      <c r="P39" s="147"/>
      <c r="Q39" s="147"/>
      <c r="R39" s="147"/>
    </row>
    <row r="43" spans="1:27" ht="45" customHeight="1" x14ac:dyDescent="0.5">
      <c r="A43" s="148"/>
      <c r="T43" s="145"/>
    </row>
    <row r="44" spans="1:27" ht="45" customHeight="1" x14ac:dyDescent="0.5">
      <c r="A44" s="109"/>
      <c r="B44" s="109"/>
      <c r="C44" s="109"/>
      <c r="D44" s="109"/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</row>
    <row r="45" spans="1:27" ht="45" customHeight="1" x14ac:dyDescent="0.5">
      <c r="A45" s="109"/>
      <c r="B45" s="110"/>
      <c r="C45" s="110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2"/>
      <c r="T45" s="112"/>
    </row>
    <row r="46" spans="1:27" ht="45" customHeight="1" x14ac:dyDescent="0.5">
      <c r="A46" s="109"/>
      <c r="B46" s="110"/>
      <c r="C46" s="110"/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2"/>
      <c r="T46" s="112"/>
    </row>
    <row r="47" spans="1:27" ht="45" customHeight="1" x14ac:dyDescent="0.5">
      <c r="A47" s="109"/>
      <c r="B47" s="110"/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2"/>
      <c r="T47" s="112"/>
    </row>
    <row r="48" spans="1:27" ht="45" customHeight="1" x14ac:dyDescent="0.5">
      <c r="A48" s="109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2"/>
      <c r="T48" s="112"/>
    </row>
    <row r="49" spans="1:20" ht="45" customHeight="1" x14ac:dyDescent="0.5">
      <c r="A49" s="109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2"/>
      <c r="T49" s="112"/>
    </row>
    <row r="50" spans="1:20" ht="45" customHeight="1" x14ac:dyDescent="0.5">
      <c r="A50" s="109"/>
      <c r="B50" s="109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18"/>
      <c r="T50" s="118"/>
    </row>
    <row r="51" spans="1:20" ht="45" customHeight="1" x14ac:dyDescent="0.25">
      <c r="A51" s="146"/>
      <c r="B51" s="149"/>
      <c r="C51" s="149"/>
      <c r="D51" s="149"/>
      <c r="E51" s="149"/>
      <c r="F51" s="149"/>
      <c r="G51" s="149"/>
      <c r="H51" s="149"/>
      <c r="I51" s="149"/>
      <c r="J51" s="149"/>
      <c r="K51" s="149"/>
      <c r="L51" s="149"/>
      <c r="M51" s="149"/>
      <c r="N51" s="149"/>
      <c r="O51" s="149"/>
      <c r="P51" s="149"/>
      <c r="Q51" s="149"/>
      <c r="R51" s="149"/>
      <c r="S51" s="147"/>
      <c r="T51" s="147"/>
    </row>
  </sheetData>
  <phoneticPr fontId="24" type="noConversion"/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GAMES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Monitto</dc:creator>
  <cp:lastModifiedBy>Daniel Monitto</cp:lastModifiedBy>
  <dcterms:created xsi:type="dcterms:W3CDTF">2024-07-20T08:49:52Z</dcterms:created>
  <dcterms:modified xsi:type="dcterms:W3CDTF">2025-12-23T05:53:24Z</dcterms:modified>
</cp:coreProperties>
</file>